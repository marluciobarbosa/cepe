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rluciobarbosa/Downloads/Da Ros - Vagas Docentes/"/>
    </mc:Choice>
  </mc:AlternateContent>
  <xr:revisionPtr revIDLastSave="0" documentId="13_ncr:1_{AD8203D8-6ABA-9242-9F98-19D330B2C1D1}" xr6:coauthVersionLast="47" xr6:coauthVersionMax="47" xr10:uidLastSave="{00000000-0000-0000-0000-000000000000}"/>
  <bookViews>
    <workbookView xWindow="0" yWindow="600" windowWidth="28800" windowHeight="16280" activeTab="3" xr2:uid="{00000000-000D-0000-FFFF-FFFF00000000}"/>
  </bookViews>
  <sheets>
    <sheet name="Quantitativa" sheetId="2" r:id="rId1"/>
    <sheet name="Qualitativa" sheetId="3" r:id="rId2"/>
    <sheet name="Avaliadores" sheetId="6" r:id="rId3"/>
    <sheet name="Resumo" sheetId="5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5" l="1" a="1"/>
  <c r="H10" i="5" s="1"/>
  <c r="H16" i="5" a="1"/>
  <c r="H16" i="5" s="1"/>
  <c r="H27" i="5" a="1"/>
  <c r="H27" i="5" s="1"/>
  <c r="H34" i="5" a="1"/>
  <c r="H34" i="5" s="1"/>
  <c r="C35" i="3"/>
  <c r="B4" i="3"/>
  <c r="C4" i="3"/>
  <c r="D4" i="3"/>
  <c r="E4" i="3"/>
  <c r="F4" i="3"/>
  <c r="B5" i="3"/>
  <c r="E5" i="5" s="1"/>
  <c r="F5" i="5" s="1"/>
  <c r="G5" i="5" s="1"/>
  <c r="C5" i="3"/>
  <c r="D5" i="3"/>
  <c r="E5" i="3"/>
  <c r="F5" i="3"/>
  <c r="B6" i="3"/>
  <c r="C6" i="3"/>
  <c r="D6" i="3"/>
  <c r="E6" i="3"/>
  <c r="F6" i="3"/>
  <c r="B7" i="3"/>
  <c r="C7" i="3"/>
  <c r="D7" i="3"/>
  <c r="E7" i="3"/>
  <c r="F7" i="3"/>
  <c r="B8" i="3"/>
  <c r="C8" i="3"/>
  <c r="E8" i="5" s="1"/>
  <c r="F8" i="5" s="1"/>
  <c r="G8" i="5" s="1"/>
  <c r="D8" i="3"/>
  <c r="E8" i="3"/>
  <c r="F8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E13" i="5" s="1"/>
  <c r="F13" i="5" s="1"/>
  <c r="G13" i="5" s="1"/>
  <c r="C13" i="3"/>
  <c r="D13" i="3"/>
  <c r="E13" i="3"/>
  <c r="F13" i="3"/>
  <c r="B14" i="3"/>
  <c r="C14" i="3"/>
  <c r="D14" i="3"/>
  <c r="E14" i="3"/>
  <c r="F14" i="3"/>
  <c r="B15" i="3"/>
  <c r="C15" i="3"/>
  <c r="D15" i="3"/>
  <c r="E15" i="3"/>
  <c r="F15" i="3"/>
  <c r="E15" i="5" s="1"/>
  <c r="F15" i="5" s="1"/>
  <c r="G15" i="5" s="1"/>
  <c r="B16" i="3"/>
  <c r="C16" i="3"/>
  <c r="D16" i="3"/>
  <c r="E16" i="3"/>
  <c r="F16" i="3"/>
  <c r="B17" i="3"/>
  <c r="C17" i="3"/>
  <c r="D17" i="3"/>
  <c r="E17" i="3"/>
  <c r="F17" i="3"/>
  <c r="B18" i="3"/>
  <c r="C18" i="3"/>
  <c r="D18" i="3"/>
  <c r="E18" i="3"/>
  <c r="F18" i="3"/>
  <c r="B19" i="3"/>
  <c r="C19" i="3"/>
  <c r="D19" i="3"/>
  <c r="E19" i="3"/>
  <c r="F19" i="3"/>
  <c r="B20" i="3"/>
  <c r="C20" i="3"/>
  <c r="D20" i="3"/>
  <c r="E20" i="3"/>
  <c r="F20" i="3"/>
  <c r="B21" i="3"/>
  <c r="E21" i="5" s="1"/>
  <c r="F21" i="5" s="1"/>
  <c r="G21" i="5" s="1"/>
  <c r="C21" i="3"/>
  <c r="D21" i="3"/>
  <c r="E21" i="3"/>
  <c r="F21" i="3"/>
  <c r="B22" i="3"/>
  <c r="C22" i="3"/>
  <c r="D22" i="3"/>
  <c r="E22" i="3"/>
  <c r="F22" i="3"/>
  <c r="B23" i="3"/>
  <c r="C23" i="3"/>
  <c r="D23" i="3"/>
  <c r="E23" i="3"/>
  <c r="F23" i="3"/>
  <c r="E23" i="5" s="1"/>
  <c r="F23" i="5" s="1"/>
  <c r="G23" i="5" s="1"/>
  <c r="B24" i="3"/>
  <c r="C24" i="3"/>
  <c r="E24" i="5" s="1"/>
  <c r="F24" i="5" s="1"/>
  <c r="G24" i="5" s="1"/>
  <c r="D24" i="3"/>
  <c r="E24" i="3"/>
  <c r="F24" i="3"/>
  <c r="B25" i="3"/>
  <c r="C25" i="3"/>
  <c r="D25" i="3"/>
  <c r="E25" i="3"/>
  <c r="F25" i="3"/>
  <c r="B26" i="3"/>
  <c r="C26" i="3"/>
  <c r="D26" i="3"/>
  <c r="E26" i="3"/>
  <c r="F26" i="3"/>
  <c r="B27" i="3"/>
  <c r="C27" i="3"/>
  <c r="D27" i="3"/>
  <c r="E27" i="5" s="1"/>
  <c r="F27" i="5" s="1"/>
  <c r="G27" i="5" s="1"/>
  <c r="E27" i="3"/>
  <c r="F27" i="3"/>
  <c r="B28" i="3"/>
  <c r="C28" i="3"/>
  <c r="D28" i="3"/>
  <c r="E28" i="3"/>
  <c r="F28" i="3"/>
  <c r="E28" i="5" s="1"/>
  <c r="F28" i="5" s="1"/>
  <c r="G28" i="5" s="1"/>
  <c r="B29" i="3"/>
  <c r="E29" i="5" s="1"/>
  <c r="F29" i="5" s="1"/>
  <c r="G29" i="5" s="1"/>
  <c r="C29" i="3"/>
  <c r="D29" i="3"/>
  <c r="E29" i="3"/>
  <c r="F29" i="3"/>
  <c r="B30" i="3"/>
  <c r="C30" i="3"/>
  <c r="D30" i="3"/>
  <c r="E30" i="3"/>
  <c r="F30" i="3"/>
  <c r="B31" i="3"/>
  <c r="C31" i="3"/>
  <c r="D31" i="3"/>
  <c r="E31" i="3"/>
  <c r="F31" i="3"/>
  <c r="B32" i="3"/>
  <c r="C32" i="3"/>
  <c r="E32" i="5" s="1"/>
  <c r="F32" i="5" s="1"/>
  <c r="G32" i="5" s="1"/>
  <c r="D32" i="3"/>
  <c r="E32" i="3"/>
  <c r="F32" i="3"/>
  <c r="B33" i="3"/>
  <c r="C33" i="3"/>
  <c r="D33" i="3"/>
  <c r="E33" i="3"/>
  <c r="F33" i="3"/>
  <c r="B34" i="3"/>
  <c r="C34" i="3"/>
  <c r="D34" i="3"/>
  <c r="E34" i="3"/>
  <c r="F34" i="3"/>
  <c r="B35" i="3"/>
  <c r="D35" i="3"/>
  <c r="E35" i="3"/>
  <c r="F35" i="3"/>
  <c r="F3" i="3"/>
  <c r="E3" i="3"/>
  <c r="D3" i="3"/>
  <c r="C3" i="3"/>
  <c r="B3" i="3"/>
  <c r="E4" i="5"/>
  <c r="F4" i="5" s="1"/>
  <c r="G4" i="5" s="1"/>
  <c r="E10" i="5"/>
  <c r="F10" i="5" s="1"/>
  <c r="G10" i="5" s="1"/>
  <c r="E18" i="5"/>
  <c r="F18" i="5" s="1"/>
  <c r="G18" i="5" s="1"/>
  <c r="C4" i="5"/>
  <c r="C5" i="5"/>
  <c r="C6" i="5"/>
  <c r="C7" i="5"/>
  <c r="D7" i="5" s="1"/>
  <c r="C8" i="5"/>
  <c r="D8" i="5" s="1"/>
  <c r="C9" i="5"/>
  <c r="D22" i="5" s="1"/>
  <c r="C10" i="5"/>
  <c r="C11" i="5"/>
  <c r="C12" i="5"/>
  <c r="C13" i="5"/>
  <c r="C14" i="5"/>
  <c r="C15" i="5"/>
  <c r="C16" i="5"/>
  <c r="D16" i="5" s="1"/>
  <c r="C17" i="5"/>
  <c r="D17" i="5" s="1"/>
  <c r="C18" i="5"/>
  <c r="C19" i="5"/>
  <c r="C20" i="5"/>
  <c r="C21" i="5"/>
  <c r="C22" i="5"/>
  <c r="C23" i="5"/>
  <c r="C24" i="5"/>
  <c r="D24" i="5" s="1"/>
  <c r="C25" i="5"/>
  <c r="D25" i="5" s="1"/>
  <c r="C26" i="5"/>
  <c r="C27" i="5"/>
  <c r="C28" i="5"/>
  <c r="C29" i="5"/>
  <c r="C30" i="5"/>
  <c r="C31" i="5"/>
  <c r="C32" i="5"/>
  <c r="D32" i="5" s="1"/>
  <c r="C33" i="5"/>
  <c r="D33" i="5" s="1"/>
  <c r="C34" i="5"/>
  <c r="C35" i="5"/>
  <c r="D15" i="5"/>
  <c r="D23" i="5"/>
  <c r="D31" i="5"/>
  <c r="C3" i="5"/>
  <c r="D26" i="5" s="1"/>
  <c r="E30" i="5" l="1"/>
  <c r="F30" i="5" s="1"/>
  <c r="G30" i="5" s="1"/>
  <c r="E20" i="5"/>
  <c r="F20" i="5" s="1"/>
  <c r="G20" i="5" s="1"/>
  <c r="E25" i="5"/>
  <c r="F25" i="5" s="1"/>
  <c r="G25" i="5" s="1"/>
  <c r="E6" i="5"/>
  <c r="F6" i="5" s="1"/>
  <c r="G6" i="5" s="1"/>
  <c r="H22" i="5" s="1" a="1"/>
  <c r="H22" i="5" s="1"/>
  <c r="E31" i="5"/>
  <c r="F31" i="5" s="1"/>
  <c r="G31" i="5" s="1"/>
  <c r="E26" i="5"/>
  <c r="F26" i="5" s="1"/>
  <c r="G26" i="5" s="1"/>
  <c r="E7" i="5"/>
  <c r="F7" i="5" s="1"/>
  <c r="G7" i="5" s="1"/>
  <c r="E33" i="5"/>
  <c r="F33" i="5" s="1"/>
  <c r="G33" i="5" s="1"/>
  <c r="H33" i="5" s="1" a="1"/>
  <c r="H33" i="5" s="1"/>
  <c r="E22" i="5"/>
  <c r="F22" i="5" s="1"/>
  <c r="G22" i="5" s="1"/>
  <c r="E19" i="5"/>
  <c r="F19" i="5" s="1"/>
  <c r="G19" i="5" s="1"/>
  <c r="E17" i="5"/>
  <c r="F17" i="5" s="1"/>
  <c r="G17" i="5" s="1"/>
  <c r="E16" i="5"/>
  <c r="F16" i="5" s="1"/>
  <c r="G16" i="5" s="1"/>
  <c r="E14" i="5"/>
  <c r="F14" i="5" s="1"/>
  <c r="G14" i="5" s="1"/>
  <c r="E12" i="5"/>
  <c r="F12" i="5" s="1"/>
  <c r="G12" i="5" s="1"/>
  <c r="E9" i="5"/>
  <c r="F9" i="5" s="1"/>
  <c r="G9" i="5" s="1"/>
  <c r="E11" i="5"/>
  <c r="F11" i="5" s="1"/>
  <c r="G11" i="5" s="1"/>
  <c r="H17" i="5" s="1" a="1"/>
  <c r="H17" i="5" s="1"/>
  <c r="E3" i="5"/>
  <c r="F3" i="5" s="1"/>
  <c r="G3" i="5" s="1"/>
  <c r="H31" i="5" a="1"/>
  <c r="H31" i="5" s="1"/>
  <c r="H19" i="5" a="1"/>
  <c r="H19" i="5" s="1"/>
  <c r="E34" i="5"/>
  <c r="F34" i="5" s="1"/>
  <c r="G34" i="5" s="1"/>
  <c r="H18" i="5" s="1" a="1"/>
  <c r="H18" i="5" s="1"/>
  <c r="E35" i="5"/>
  <c r="F35" i="5" s="1"/>
  <c r="G35" i="5" s="1"/>
  <c r="H35" i="5" s="1" a="1"/>
  <c r="H35" i="5" s="1"/>
  <c r="D30" i="5"/>
  <c r="D29" i="5"/>
  <c r="D34" i="5"/>
  <c r="D14" i="5"/>
  <c r="D13" i="5"/>
  <c r="D28" i="5"/>
  <c r="D20" i="5"/>
  <c r="D12" i="5"/>
  <c r="D4" i="5"/>
  <c r="D35" i="5"/>
  <c r="D27" i="5"/>
  <c r="D19" i="5"/>
  <c r="D21" i="5"/>
  <c r="D18" i="5"/>
  <c r="D6" i="5"/>
  <c r="D3" i="5"/>
  <c r="D11" i="5"/>
  <c r="D10" i="5"/>
  <c r="D9" i="5"/>
  <c r="D5" i="5"/>
  <c r="H14" i="5" l="1" a="1"/>
  <c r="H14" i="5" s="1"/>
  <c r="H11" i="5" a="1"/>
  <c r="H11" i="5" s="1"/>
  <c r="H23" i="5" a="1"/>
  <c r="H23" i="5" s="1"/>
  <c r="H25" i="5" a="1"/>
  <c r="H25" i="5" s="1"/>
  <c r="H15" i="5" a="1"/>
  <c r="H15" i="5" s="1"/>
  <c r="H29" i="5" a="1"/>
  <c r="H29" i="5" s="1"/>
  <c r="H7" i="5" a="1"/>
  <c r="H7" i="5" s="1"/>
  <c r="H21" i="5" a="1"/>
  <c r="H21" i="5" s="1"/>
  <c r="H28" i="5" a="1"/>
  <c r="H28" i="5" s="1"/>
  <c r="H13" i="5" a="1"/>
  <c r="H13" i="5" s="1"/>
  <c r="H3" i="5" a="1"/>
  <c r="H3" i="5" s="1"/>
  <c r="H20" i="5" a="1"/>
  <c r="H20" i="5" s="1"/>
  <c r="H24" i="5" a="1"/>
  <c r="H24" i="5" s="1"/>
  <c r="H32" i="5" a="1"/>
  <c r="H32" i="5" s="1"/>
  <c r="H5" i="5" a="1"/>
  <c r="H5" i="5" s="1"/>
  <c r="H26" i="5" a="1"/>
  <c r="H26" i="5" s="1"/>
  <c r="H9" i="5" a="1"/>
  <c r="H9" i="5" s="1"/>
  <c r="H8" i="5" a="1"/>
  <c r="H8" i="5" s="1"/>
  <c r="H30" i="5" a="1"/>
  <c r="H30" i="5" s="1"/>
  <c r="H4" i="5" a="1"/>
  <c r="H4" i="5" s="1"/>
  <c r="H12" i="5" a="1"/>
  <c r="H12" i="5" s="1"/>
  <c r="H6" i="5" a="1"/>
  <c r="H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<sst xmlns="http://schemas.openxmlformats.org/spreadsheetml/2006/main" count="279" uniqueCount="96">
  <si>
    <t>Nome do Departamento solicitante</t>
  </si>
  <si>
    <t>Responsável pelo preenchimento</t>
  </si>
  <si>
    <t>E-mail</t>
  </si>
  <si>
    <t>Caga Horária Didática em Ensino de Graduação dedicada por cada Docente em Disciplinas da Graduação (CHDEG)</t>
  </si>
  <si>
    <t>Caga Horária Didática dedicada por cada Docente em Disciplina de Pós-graduação (Stricto ou Lato Sensu) da UFRRJ (CHDPG)</t>
  </si>
  <si>
    <t>Caga Horária Didática dedicada por cada Docente em Atividades Acadêmicas (AAs), na Graduação em Programas de Residência (CHDAA)</t>
  </si>
  <si>
    <t>Carga Horária Média dedicada pelos Docentes do Departamento (CHMD)</t>
  </si>
  <si>
    <t>Carga Horária dedicada a Atividades de Extensão (CHDAE)</t>
  </si>
  <si>
    <t>Data da Entrada</t>
  </si>
  <si>
    <t>PDF: Formulário de Variáveis Quantitativas - UFRRJ</t>
  </si>
  <si>
    <t>Nota Média - Critério 1</t>
  </si>
  <si>
    <t>Nota Média - Critério 2</t>
  </si>
  <si>
    <t>Nota Média - Critério 3</t>
  </si>
  <si>
    <t>Nota Média - Critério 4</t>
  </si>
  <si>
    <t>Nota Média - Critério 5</t>
  </si>
  <si>
    <t>Variáveis Quantitativas</t>
  </si>
  <si>
    <t>Avaliação Qualitativa dos Projetos</t>
  </si>
  <si>
    <t>Avaliador 1</t>
  </si>
  <si>
    <t>Avaliador 2</t>
  </si>
  <si>
    <t>Avaliador 3</t>
  </si>
  <si>
    <t>Resumo</t>
  </si>
  <si>
    <t>Deferido</t>
  </si>
  <si>
    <t>QI</t>
  </si>
  <si>
    <t>FI</t>
  </si>
  <si>
    <t>FI Total</t>
  </si>
  <si>
    <t>Classificação</t>
  </si>
  <si>
    <t>W</t>
  </si>
  <si>
    <t>Si</t>
  </si>
  <si>
    <t>Departamento Genérico 01</t>
  </si>
  <si>
    <t>Departamento Genérico 02</t>
  </si>
  <si>
    <t>Departamento Genérico 03</t>
  </si>
  <si>
    <t>Departamento Genérico 04</t>
  </si>
  <si>
    <t>Departamento Genérico 05</t>
  </si>
  <si>
    <t>Departamento Genérico 06</t>
  </si>
  <si>
    <t>Departamento Genérico 07</t>
  </si>
  <si>
    <t>Departamento Genérico 08</t>
  </si>
  <si>
    <t>Departamento Genérico 09</t>
  </si>
  <si>
    <t>Departamento Genérico 10</t>
  </si>
  <si>
    <t>Departamento Genérico 11</t>
  </si>
  <si>
    <t>Departamento Genérico 12</t>
  </si>
  <si>
    <t>Departamento Genérico 13</t>
  </si>
  <si>
    <t>Departamento Genérico 14</t>
  </si>
  <si>
    <t>Departamento Genérico 15</t>
  </si>
  <si>
    <t>Departamento Genérico 16</t>
  </si>
  <si>
    <t>Departamento Genérico 17</t>
  </si>
  <si>
    <t>Departamento Genérico 18</t>
  </si>
  <si>
    <t>Departamento Genérico 19</t>
  </si>
  <si>
    <t>Departamento Genérico 20</t>
  </si>
  <si>
    <t>Departamento Genérico 21</t>
  </si>
  <si>
    <t>Departamento Genérico 22</t>
  </si>
  <si>
    <t>Departamento Genérico 23</t>
  </si>
  <si>
    <t>Departamento Genérico 24</t>
  </si>
  <si>
    <t>Departamento Genérico 25</t>
  </si>
  <si>
    <t>Departamento Genérico 26</t>
  </si>
  <si>
    <t>Departamento Genérico 27</t>
  </si>
  <si>
    <t>Departamento Genérico 28</t>
  </si>
  <si>
    <t>Departamento Genérico 29</t>
  </si>
  <si>
    <t>Departamento Genérico 30</t>
  </si>
  <si>
    <t>Departamento Genérico 31</t>
  </si>
  <si>
    <t>Departamento Genérico 32</t>
  </si>
  <si>
    <t>Departamento Genérico 33</t>
  </si>
  <si>
    <t>Responsável Genérico 01</t>
  </si>
  <si>
    <t>Responsável Genérico 02</t>
  </si>
  <si>
    <t>Responsável Genérico 03</t>
  </si>
  <si>
    <t>Responsável Genérico 04</t>
  </si>
  <si>
    <t>Responsável Genérico 05</t>
  </si>
  <si>
    <t>Responsável Genérico 06</t>
  </si>
  <si>
    <t>Responsável Genérico 07</t>
  </si>
  <si>
    <t>Responsável Genérico 08</t>
  </si>
  <si>
    <t>Responsável Genérico 09</t>
  </si>
  <si>
    <t>Responsável Genérico 10</t>
  </si>
  <si>
    <t>Responsável Genérico 11</t>
  </si>
  <si>
    <t>Responsável Genérico 12</t>
  </si>
  <si>
    <t>Responsável Genérico 13</t>
  </si>
  <si>
    <t>Responsável Genérico 14</t>
  </si>
  <si>
    <t>Responsável Genérico 15</t>
  </si>
  <si>
    <t>Responsável Genérico 16</t>
  </si>
  <si>
    <t>Responsável Genérico 17</t>
  </si>
  <si>
    <t>Responsável Genérico 18</t>
  </si>
  <si>
    <t>Responsável Genérico 19</t>
  </si>
  <si>
    <t>Responsável Genérico 20</t>
  </si>
  <si>
    <t>Responsável Genérico 21</t>
  </si>
  <si>
    <t>Responsável Genérico 22</t>
  </si>
  <si>
    <t>Responsável Genérico 23</t>
  </si>
  <si>
    <t>Responsável Genérico 24</t>
  </si>
  <si>
    <t>Responsável Genérico 25</t>
  </si>
  <si>
    <t>Responsável Genérico 26</t>
  </si>
  <si>
    <t>Responsável Genérico 27</t>
  </si>
  <si>
    <t>Responsável Genérico 28</t>
  </si>
  <si>
    <t>Responsável Genérico 29</t>
  </si>
  <si>
    <t>Responsável Genérico 30</t>
  </si>
  <si>
    <t>Responsável Genérico 31</t>
  </si>
  <si>
    <t>Responsável Genérico 32</t>
  </si>
  <si>
    <t>Responsável Genérico 33</t>
  </si>
  <si>
    <t>responsavel@example.com</t>
  </si>
  <si>
    <t>https://inscricoes.ufrrj.br/formulario-de-variaveis-quantitativas/departamento-XX.pdf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</si>
</sst>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yyyy\-m\-d\ h:mm:ss"/>
    <numFmt numFmtId="166" formatCode="yyyy\-mm\-dd\ h:mm:ss"/>
    <numFmt numFmtId="167" formatCode="yyyy\-m\-d\ hh:mm:ss"/>
    <numFmt numFmtId="168" formatCode="0.0000"/>
    <numFmt numFmtId="169" formatCode="yyyy\-mm\-dd\ hh:mm:ss"/>
  </numFmts>
  <fonts count="8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2"/>
      <color indexed="8"/>
      <name val="Helvetica Neue"/>
      <family val="2"/>
    </font>
    <font>
      <sz val="10"/>
      <color indexed="8"/>
      <name val="Helvetica Neue"/>
      <family val="2"/>
    </font>
    <font>
      <u/>
      <sz val="10"/>
      <color theme="10"/>
      <name val="Helvetica Neue"/>
      <family val="2"/>
    </font>
    <font>
      <sz val="10"/>
      <color rgb="FF000000"/>
      <name val="Aptos Narrow"/>
      <family val="2"/>
    </font>
    <font>
      <sz val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21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3"/>
      </left>
      <right/>
      <top/>
      <bottom style="thin">
        <color indexed="14"/>
      </bottom>
      <diagonal/>
    </border>
    <border>
      <left style="thin">
        <color indexed="13"/>
      </left>
      <right/>
      <top style="thin">
        <color indexed="14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FF00"/>
      </left>
      <right style="medium">
        <color rgb="FFFFFF00"/>
      </right>
      <top style="medium">
        <color rgb="FFFF00FF"/>
      </top>
      <bottom style="medium">
        <color rgb="FFFFFF0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</cellStyleXfs>
  <cellXfs count="5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2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165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2" fontId="0" fillId="0" borderId="6" xfId="0" applyNumberFormat="1" applyBorder="1" applyAlignment="1">
      <alignment vertical="top"/>
    </xf>
    <xf numFmtId="165" fontId="0" fillId="0" borderId="6" xfId="0" applyNumberFormat="1" applyBorder="1" applyAlignment="1">
      <alignment vertical="top"/>
    </xf>
    <xf numFmtId="166" fontId="0" fillId="0" borderId="6" xfId="0" applyNumberFormat="1" applyBorder="1" applyAlignment="1">
      <alignment vertical="top"/>
    </xf>
    <xf numFmtId="164" fontId="0" fillId="0" borderId="6" xfId="0" applyNumberFormat="1" applyBorder="1" applyAlignment="1">
      <alignment vertical="top"/>
    </xf>
    <xf numFmtId="3" fontId="0" fillId="0" borderId="6" xfId="0" applyNumberFormat="1" applyBorder="1" applyAlignment="1">
      <alignment vertical="top"/>
    </xf>
    <xf numFmtId="167" fontId="0" fillId="0" borderId="6" xfId="0" applyNumberFormat="1" applyBorder="1" applyAlignment="1">
      <alignment vertical="top"/>
    </xf>
    <xf numFmtId="168" fontId="0" fillId="0" borderId="6" xfId="0" applyNumberFormat="1" applyBorder="1" applyAlignment="1">
      <alignment vertical="top"/>
    </xf>
    <xf numFmtId="169" fontId="0" fillId="0" borderId="6" xfId="0" applyNumberFormat="1" applyBorder="1" applyAlignment="1">
      <alignment vertical="top"/>
    </xf>
    <xf numFmtId="2" fontId="0" fillId="0" borderId="3" xfId="0" applyNumberFormat="1" applyBorder="1" applyAlignment="1">
      <alignment vertical="top"/>
    </xf>
    <xf numFmtId="49" fontId="2" fillId="3" borderId="10" xfId="0" applyNumberFormat="1" applyFont="1" applyFill="1" applyBorder="1" applyAlignment="1">
      <alignment vertical="top"/>
    </xf>
    <xf numFmtId="49" fontId="2" fillId="3" borderId="11" xfId="0" applyNumberFormat="1" applyFont="1" applyFill="1" applyBorder="1" applyAlignment="1">
      <alignment vertical="top"/>
    </xf>
    <xf numFmtId="49" fontId="2" fillId="0" borderId="8" xfId="0" applyNumberFormat="1" applyFont="1" applyFill="1" applyBorder="1" applyAlignment="1">
      <alignment horizontal="center" vertical="center"/>
    </xf>
    <xf numFmtId="49" fontId="2" fillId="0" borderId="15" xfId="0" applyNumberFormat="1" applyFont="1" applyFill="1" applyBorder="1" applyAlignment="1">
      <alignment horizontal="center" vertical="center"/>
    </xf>
    <xf numFmtId="49" fontId="2" fillId="0" borderId="16" xfId="0" applyNumberFormat="1" applyFont="1" applyFill="1" applyBorder="1" applyAlignment="1">
      <alignment horizontal="center" vertical="center"/>
    </xf>
    <xf numFmtId="2" fontId="4" fillId="0" borderId="3" xfId="0" applyNumberFormat="1" applyFont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49" fontId="2" fillId="2" borderId="1" xfId="0" applyNumberFormat="1" applyFon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4" fillId="0" borderId="15" xfId="0" applyNumberFormat="1" applyFont="1" applyFill="1" applyBorder="1" applyAlignment="1">
      <alignment vertical="top"/>
    </xf>
    <xf numFmtId="2" fontId="4" fillId="0" borderId="8" xfId="0" applyNumberFormat="1" applyFont="1" applyFill="1" applyBorder="1" applyAlignment="1">
      <alignment vertical="top"/>
    </xf>
    <xf numFmtId="2" fontId="4" fillId="0" borderId="16" xfId="0" applyNumberFormat="1" applyFont="1" applyFill="1" applyBorder="1" applyAlignment="1">
      <alignment vertical="top"/>
    </xf>
    <xf numFmtId="2" fontId="4" fillId="0" borderId="15" xfId="0" applyNumberFormat="1" applyFont="1" applyBorder="1" applyAlignment="1">
      <alignment vertical="top"/>
    </xf>
    <xf numFmtId="2" fontId="4" fillId="0" borderId="8" xfId="0" applyNumberFormat="1" applyFont="1" applyBorder="1" applyAlignment="1">
      <alignment vertical="top"/>
    </xf>
    <xf numFmtId="2" fontId="4" fillId="0" borderId="16" xfId="0" applyNumberFormat="1" applyFont="1" applyBorder="1" applyAlignment="1">
      <alignment vertical="top"/>
    </xf>
    <xf numFmtId="2" fontId="4" fillId="0" borderId="17" xfId="0" applyNumberFormat="1" applyFont="1" applyFill="1" applyBorder="1" applyAlignment="1">
      <alignment vertical="top"/>
    </xf>
    <xf numFmtId="2" fontId="4" fillId="0" borderId="18" xfId="0" applyNumberFormat="1" applyFont="1" applyFill="1" applyBorder="1" applyAlignment="1">
      <alignment vertical="top"/>
    </xf>
    <xf numFmtId="2" fontId="4" fillId="0" borderId="19" xfId="0" applyNumberFormat="1" applyFont="1" applyFill="1" applyBorder="1" applyAlignment="1">
      <alignment vertical="top"/>
    </xf>
    <xf numFmtId="2" fontId="4" fillId="0" borderId="17" xfId="0" applyNumberFormat="1" applyFont="1" applyBorder="1" applyAlignment="1">
      <alignment vertical="top"/>
    </xf>
    <xf numFmtId="2" fontId="4" fillId="0" borderId="18" xfId="0" applyNumberFormat="1" applyFont="1" applyBorder="1" applyAlignment="1">
      <alignment vertical="top"/>
    </xf>
    <xf numFmtId="2" fontId="4" fillId="0" borderId="19" xfId="0" applyNumberFormat="1" applyFont="1" applyBorder="1" applyAlignment="1">
      <alignment vertical="top"/>
    </xf>
    <xf numFmtId="1" fontId="0" fillId="0" borderId="4" xfId="0" applyNumberFormat="1" applyBorder="1" applyAlignment="1">
      <alignment horizontal="center" vertical="center"/>
    </xf>
    <xf numFmtId="168" fontId="0" fillId="0" borderId="4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2" borderId="12" xfId="0" applyNumberFormat="1" applyFont="1" applyFill="1" applyBorder="1" applyAlignment="1">
      <alignment horizontal="center" vertical="top"/>
    </xf>
    <xf numFmtId="49" fontId="2" fillId="2" borderId="13" xfId="0" applyNumberFormat="1" applyFont="1" applyFill="1" applyBorder="1" applyAlignment="1">
      <alignment horizontal="center" vertical="top"/>
    </xf>
    <xf numFmtId="49" fontId="2" fillId="2" borderId="14" xfId="0" applyNumberFormat="1" applyFont="1" applyFill="1" applyBorder="1" applyAlignment="1">
      <alignment horizontal="center" vertical="top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5" fillId="0" borderId="4" xfId="1" applyNumberForma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6" fillId="0" borderId="20" xfId="0" applyNumberFormat="1" applyFont="1" applyBorder="1" applyAlignment="1">
      <alignment vertical="top"/>
    </xf>
  </cellXfs>
  <cellStyles count="2">
    <cellStyle name="Hi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esponsavel@example.com" TargetMode="External"/><Relationship Id="rId1" Type="http://schemas.openxmlformats.org/officeDocument/2006/relationships/hyperlink" Target="mailto:responsavel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5"/>
  <sheetViews>
    <sheetView showGridLines="0" topLeftCell="E1" workbookViewId="0">
      <selection activeCell="D15" sqref="D15"/>
    </sheetView>
  </sheetViews>
  <sheetFormatPr baseColWidth="10" defaultColWidth="8.33203125" defaultRowHeight="20" customHeight="1" x14ac:dyDescent="0.15"/>
  <cols>
    <col min="1" max="1" width="60.5" style="1" customWidth="1"/>
    <col min="2" max="2" width="36.83203125" style="1" customWidth="1"/>
    <col min="3" max="3" width="29.6640625" style="1" customWidth="1"/>
    <col min="4" max="4" width="93.1640625" style="1" customWidth="1"/>
    <col min="5" max="5" width="102.33203125" style="1" customWidth="1"/>
    <col min="6" max="6" width="111.33203125" style="1" customWidth="1"/>
    <col min="7" max="7" width="59.6640625" style="1" customWidth="1"/>
    <col min="8" max="8" width="48.1640625" style="1" customWidth="1"/>
    <col min="9" max="9" width="19.1640625" style="1" customWidth="1"/>
    <col min="10" max="10" width="58.6640625" style="1" bestFit="1" customWidth="1"/>
    <col min="11" max="11" width="8.33203125" style="1" customWidth="1"/>
    <col min="12" max="16384" width="8.33203125" style="1"/>
  </cols>
  <sheetData>
    <row r="1" spans="1:10" ht="27.75" customHeight="1" x14ac:dyDescent="0.15">
      <c r="A1" s="41" t="s">
        <v>15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0.25" customHeight="1" thickBo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ht="20.25" customHeight="1" thickBot="1" x14ac:dyDescent="0.2">
      <c r="A3" s="3" t="s">
        <v>28</v>
      </c>
      <c r="B3" s="49" t="s">
        <v>61</v>
      </c>
      <c r="C3" s="48" t="s">
        <v>94</v>
      </c>
      <c r="D3" s="4">
        <v>243.75</v>
      </c>
      <c r="E3" s="5">
        <v>15</v>
      </c>
      <c r="F3" s="6">
        <v>135.4</v>
      </c>
      <c r="G3" s="6">
        <v>1633.1</v>
      </c>
      <c r="H3" s="6">
        <v>26.3</v>
      </c>
      <c r="I3" s="7">
        <v>46001.76462962963</v>
      </c>
      <c r="J3" s="50" t="s">
        <v>95</v>
      </c>
    </row>
    <row r="4" spans="1:10" ht="20" customHeight="1" thickBot="1" x14ac:dyDescent="0.2">
      <c r="A4" s="8" t="s">
        <v>29</v>
      </c>
      <c r="B4" s="49" t="s">
        <v>62</v>
      </c>
      <c r="C4" s="48" t="s">
        <v>94</v>
      </c>
      <c r="D4" s="9">
        <v>3570</v>
      </c>
      <c r="E4" s="9">
        <v>345</v>
      </c>
      <c r="F4" s="9">
        <v>960</v>
      </c>
      <c r="G4" s="10">
        <v>406.25</v>
      </c>
      <c r="H4" s="9">
        <v>664</v>
      </c>
      <c r="I4" s="11">
        <v>45981.695127314815</v>
      </c>
      <c r="J4" s="50" t="s">
        <v>95</v>
      </c>
    </row>
    <row r="5" spans="1:10" ht="20" customHeight="1" thickBot="1" x14ac:dyDescent="0.2">
      <c r="A5" s="8" t="s">
        <v>30</v>
      </c>
      <c r="B5" s="49" t="s">
        <v>63</v>
      </c>
      <c r="C5" s="48" t="s">
        <v>94</v>
      </c>
      <c r="D5" s="9">
        <v>4982</v>
      </c>
      <c r="E5" s="9">
        <v>73</v>
      </c>
      <c r="F5" s="9">
        <v>244</v>
      </c>
      <c r="G5" s="9">
        <v>174</v>
      </c>
      <c r="H5" s="9">
        <v>305</v>
      </c>
      <c r="I5" s="12">
        <v>46000.565636574072</v>
      </c>
      <c r="J5" s="50" t="s">
        <v>95</v>
      </c>
    </row>
    <row r="6" spans="1:10" ht="20" customHeight="1" thickBot="1" x14ac:dyDescent="0.2">
      <c r="A6" s="8" t="s">
        <v>31</v>
      </c>
      <c r="B6" s="49" t="s">
        <v>64</v>
      </c>
      <c r="C6" s="48" t="s">
        <v>94</v>
      </c>
      <c r="D6" s="9">
        <v>4455</v>
      </c>
      <c r="E6" s="9">
        <v>0</v>
      </c>
      <c r="F6" s="9">
        <v>1638</v>
      </c>
      <c r="G6" s="13">
        <v>135.5</v>
      </c>
      <c r="H6" s="9">
        <v>191</v>
      </c>
      <c r="I6" s="12">
        <v>45998.79483796296</v>
      </c>
      <c r="J6" s="50" t="s">
        <v>95</v>
      </c>
    </row>
    <row r="7" spans="1:10" ht="20" customHeight="1" thickBot="1" x14ac:dyDescent="0.2">
      <c r="A7" s="8" t="s">
        <v>32</v>
      </c>
      <c r="B7" s="49" t="s">
        <v>65</v>
      </c>
      <c r="C7" s="48" t="s">
        <v>94</v>
      </c>
      <c r="D7" s="9">
        <v>2295</v>
      </c>
      <c r="E7" s="9">
        <v>434</v>
      </c>
      <c r="F7" s="9">
        <v>250</v>
      </c>
      <c r="G7" s="9">
        <v>271</v>
      </c>
      <c r="H7" s="9">
        <v>892</v>
      </c>
      <c r="I7" s="12">
        <v>46000.70888888889</v>
      </c>
      <c r="J7" s="50" t="s">
        <v>95</v>
      </c>
    </row>
    <row r="8" spans="1:10" ht="20" customHeight="1" thickBot="1" x14ac:dyDescent="0.2">
      <c r="A8" s="8" t="s">
        <v>33</v>
      </c>
      <c r="B8" s="49" t="s">
        <v>66</v>
      </c>
      <c r="C8" s="48" t="s">
        <v>94</v>
      </c>
      <c r="D8" s="9">
        <v>4111</v>
      </c>
      <c r="E8" s="9">
        <v>385</v>
      </c>
      <c r="F8" s="9">
        <v>30</v>
      </c>
      <c r="G8" s="10">
        <v>389.86</v>
      </c>
      <c r="H8" s="9">
        <v>932</v>
      </c>
      <c r="I8" s="12">
        <v>45993.572488425925</v>
      </c>
      <c r="J8" s="50" t="s">
        <v>95</v>
      </c>
    </row>
    <row r="9" spans="1:10" ht="20" customHeight="1" thickBot="1" x14ac:dyDescent="0.2">
      <c r="A9" s="8" t="s">
        <v>34</v>
      </c>
      <c r="B9" s="49" t="s">
        <v>67</v>
      </c>
      <c r="C9" s="48" t="s">
        <v>94</v>
      </c>
      <c r="D9" s="9">
        <v>5880</v>
      </c>
      <c r="E9" s="9">
        <v>363</v>
      </c>
      <c r="F9" s="9">
        <v>127</v>
      </c>
      <c r="G9" s="9">
        <v>288</v>
      </c>
      <c r="H9" s="9">
        <v>166</v>
      </c>
      <c r="I9" s="11">
        <v>46001.685763888891</v>
      </c>
      <c r="J9" s="50" t="s">
        <v>95</v>
      </c>
    </row>
    <row r="10" spans="1:10" ht="20" customHeight="1" thickBot="1" x14ac:dyDescent="0.2">
      <c r="A10" s="8" t="s">
        <v>35</v>
      </c>
      <c r="B10" s="49" t="s">
        <v>68</v>
      </c>
      <c r="C10" s="48" t="s">
        <v>94</v>
      </c>
      <c r="D10" s="9">
        <v>3722</v>
      </c>
      <c r="E10" s="9">
        <v>1089</v>
      </c>
      <c r="F10" s="9">
        <v>210</v>
      </c>
      <c r="G10" s="9">
        <v>281</v>
      </c>
      <c r="H10" s="9">
        <v>1766</v>
      </c>
      <c r="I10" s="12">
        <v>45995.487858796303</v>
      </c>
      <c r="J10" s="50" t="s">
        <v>95</v>
      </c>
    </row>
    <row r="11" spans="1:10" ht="20" customHeight="1" thickBot="1" x14ac:dyDescent="0.2">
      <c r="A11" s="8" t="s">
        <v>36</v>
      </c>
      <c r="B11" s="49" t="s">
        <v>69</v>
      </c>
      <c r="C11" s="48" t="s">
        <v>94</v>
      </c>
      <c r="D11" s="14">
        <v>4830</v>
      </c>
      <c r="E11" s="9">
        <v>60</v>
      </c>
      <c r="F11" s="14">
        <v>2225</v>
      </c>
      <c r="G11" s="10">
        <v>338.81</v>
      </c>
      <c r="H11" s="9">
        <v>886</v>
      </c>
      <c r="I11" s="12">
        <v>46000.466851851852</v>
      </c>
      <c r="J11" s="50" t="s">
        <v>95</v>
      </c>
    </row>
    <row r="12" spans="1:10" ht="20" customHeight="1" thickBot="1" x14ac:dyDescent="0.2">
      <c r="A12" s="8" t="s">
        <v>37</v>
      </c>
      <c r="B12" s="49" t="s">
        <v>70</v>
      </c>
      <c r="C12" s="48" t="s">
        <v>94</v>
      </c>
      <c r="D12" s="9">
        <v>2880</v>
      </c>
      <c r="E12" s="9">
        <v>435</v>
      </c>
      <c r="F12" s="9">
        <v>120</v>
      </c>
      <c r="G12" s="10">
        <v>286.25</v>
      </c>
      <c r="H12" s="9">
        <v>1076</v>
      </c>
      <c r="I12" s="12">
        <v>45999.741851851853</v>
      </c>
      <c r="J12" s="50" t="s">
        <v>95</v>
      </c>
    </row>
    <row r="13" spans="1:10" ht="20" customHeight="1" thickBot="1" x14ac:dyDescent="0.2">
      <c r="A13" s="8" t="s">
        <v>38</v>
      </c>
      <c r="B13" s="49" t="s">
        <v>71</v>
      </c>
      <c r="C13" s="48" t="s">
        <v>94</v>
      </c>
      <c r="D13" s="10">
        <v>14.13</v>
      </c>
      <c r="E13" s="9">
        <v>1</v>
      </c>
      <c r="F13" s="9">
        <v>35</v>
      </c>
      <c r="G13" s="10">
        <v>70.91</v>
      </c>
      <c r="H13" s="13">
        <v>24.2</v>
      </c>
      <c r="I13" s="15">
        <v>45987.373530092591</v>
      </c>
      <c r="J13" s="50" t="s">
        <v>95</v>
      </c>
    </row>
    <row r="14" spans="1:10" ht="20" customHeight="1" thickBot="1" x14ac:dyDescent="0.2">
      <c r="A14" s="8" t="s">
        <v>39</v>
      </c>
      <c r="B14" s="49" t="s">
        <v>72</v>
      </c>
      <c r="C14" s="48" t="s">
        <v>94</v>
      </c>
      <c r="D14" s="9">
        <v>3300</v>
      </c>
      <c r="E14" s="13">
        <v>584.5</v>
      </c>
      <c r="F14" s="9">
        <v>690</v>
      </c>
      <c r="G14" s="10">
        <v>160.71</v>
      </c>
      <c r="H14" s="13">
        <v>407.5</v>
      </c>
      <c r="I14" s="12">
        <v>46000.596504629626</v>
      </c>
      <c r="J14" s="50" t="s">
        <v>95</v>
      </c>
    </row>
    <row r="15" spans="1:10" ht="20" customHeight="1" thickBot="1" x14ac:dyDescent="0.2">
      <c r="A15" s="8" t="s">
        <v>40</v>
      </c>
      <c r="B15" s="49" t="s">
        <v>73</v>
      </c>
      <c r="C15" s="48" t="s">
        <v>94</v>
      </c>
      <c r="D15" s="14">
        <v>2218</v>
      </c>
      <c r="E15" s="9">
        <v>195</v>
      </c>
      <c r="F15" s="14">
        <v>2385</v>
      </c>
      <c r="G15" s="10">
        <v>363.26</v>
      </c>
      <c r="H15" s="9">
        <v>846</v>
      </c>
      <c r="I15" s="12">
        <v>45992.778935185182</v>
      </c>
      <c r="J15" s="50" t="s">
        <v>95</v>
      </c>
    </row>
    <row r="16" spans="1:10" ht="20" customHeight="1" thickBot="1" x14ac:dyDescent="0.2">
      <c r="A16" s="8" t="s">
        <v>41</v>
      </c>
      <c r="B16" s="49" t="s">
        <v>74</v>
      </c>
      <c r="C16" s="48" t="s">
        <v>94</v>
      </c>
      <c r="D16" s="10">
        <v>131.69</v>
      </c>
      <c r="E16" s="9">
        <v>21</v>
      </c>
      <c r="F16" s="10">
        <v>3.28</v>
      </c>
      <c r="G16" s="10">
        <v>149.41</v>
      </c>
      <c r="H16" s="10">
        <v>5.53</v>
      </c>
      <c r="I16" s="12">
        <v>45995.476377314815</v>
      </c>
      <c r="J16" s="50" t="s">
        <v>95</v>
      </c>
    </row>
    <row r="17" spans="1:10" ht="20" customHeight="1" thickBot="1" x14ac:dyDescent="0.2">
      <c r="A17" s="8" t="s">
        <v>42</v>
      </c>
      <c r="B17" s="49" t="s">
        <v>75</v>
      </c>
      <c r="C17" s="48" t="s">
        <v>94</v>
      </c>
      <c r="D17" s="9">
        <v>159</v>
      </c>
      <c r="E17" s="10">
        <v>5.56</v>
      </c>
      <c r="F17" s="9">
        <v>5</v>
      </c>
      <c r="G17" s="16">
        <v>159.5667</v>
      </c>
      <c r="H17" s="13">
        <v>20.9</v>
      </c>
      <c r="I17" s="12">
        <v>45995.477349537039</v>
      </c>
      <c r="J17" s="50" t="s">
        <v>95</v>
      </c>
    </row>
    <row r="18" spans="1:10" ht="20" customHeight="1" thickBot="1" x14ac:dyDescent="0.2">
      <c r="A18" s="8" t="s">
        <v>43</v>
      </c>
      <c r="B18" s="49" t="s">
        <v>76</v>
      </c>
      <c r="C18" s="48" t="s">
        <v>94</v>
      </c>
      <c r="D18" s="13">
        <v>134.4</v>
      </c>
      <c r="E18" s="13">
        <v>28.9</v>
      </c>
      <c r="F18" s="13">
        <v>24.7</v>
      </c>
      <c r="G18" s="10">
        <v>166.75</v>
      </c>
      <c r="H18" s="10">
        <v>6.05</v>
      </c>
      <c r="I18" s="12">
        <v>46000.84003472222</v>
      </c>
      <c r="J18" s="50" t="s">
        <v>95</v>
      </c>
    </row>
    <row r="19" spans="1:10" ht="20" customHeight="1" thickBot="1" x14ac:dyDescent="0.2">
      <c r="A19" s="8" t="s">
        <v>44</v>
      </c>
      <c r="B19" s="49" t="s">
        <v>77</v>
      </c>
      <c r="C19" s="48" t="s">
        <v>94</v>
      </c>
      <c r="D19" s="9">
        <v>6600</v>
      </c>
      <c r="E19" s="9">
        <v>68</v>
      </c>
      <c r="F19" s="9">
        <v>657</v>
      </c>
      <c r="G19" s="9">
        <v>132</v>
      </c>
      <c r="H19" s="9">
        <v>228</v>
      </c>
      <c r="I19" s="11">
        <v>46001.935011574074</v>
      </c>
      <c r="J19" s="50" t="s">
        <v>95</v>
      </c>
    </row>
    <row r="20" spans="1:10" ht="20" customHeight="1" thickBot="1" x14ac:dyDescent="0.2">
      <c r="A20" s="8" t="s">
        <v>45</v>
      </c>
      <c r="B20" s="49" t="s">
        <v>78</v>
      </c>
      <c r="C20" s="48" t="s">
        <v>94</v>
      </c>
      <c r="D20" s="9">
        <v>2786</v>
      </c>
      <c r="E20" s="9">
        <v>0</v>
      </c>
      <c r="F20" s="9">
        <v>239</v>
      </c>
      <c r="G20" s="13">
        <v>139.30000000000001</v>
      </c>
      <c r="H20" s="9">
        <v>0</v>
      </c>
      <c r="I20" s="12">
        <v>45999.864189814813</v>
      </c>
      <c r="J20" s="50" t="s">
        <v>95</v>
      </c>
    </row>
    <row r="21" spans="1:10" ht="20" customHeight="1" thickBot="1" x14ac:dyDescent="0.2">
      <c r="A21" s="8" t="s">
        <v>46</v>
      </c>
      <c r="B21" s="49" t="s">
        <v>79</v>
      </c>
      <c r="C21" s="48" t="s">
        <v>94</v>
      </c>
      <c r="D21" s="9">
        <v>3345</v>
      </c>
      <c r="E21" s="9">
        <v>690</v>
      </c>
      <c r="F21" s="9">
        <v>270</v>
      </c>
      <c r="G21" s="13">
        <v>288.2</v>
      </c>
      <c r="H21" s="9">
        <v>3310</v>
      </c>
      <c r="I21" s="11">
        <v>45988.791018518517</v>
      </c>
      <c r="J21" s="50" t="s">
        <v>95</v>
      </c>
    </row>
    <row r="22" spans="1:10" ht="20" customHeight="1" thickBot="1" x14ac:dyDescent="0.2">
      <c r="A22" s="8" t="s">
        <v>47</v>
      </c>
      <c r="B22" s="49" t="s">
        <v>80</v>
      </c>
      <c r="C22" s="48" t="s">
        <v>94</v>
      </c>
      <c r="D22" s="9">
        <v>4180</v>
      </c>
      <c r="E22" s="9">
        <v>1651</v>
      </c>
      <c r="F22" s="9">
        <v>525</v>
      </c>
      <c r="G22" s="9">
        <v>302</v>
      </c>
      <c r="H22" s="9">
        <v>139</v>
      </c>
      <c r="I22" s="12">
        <v>46000.757916666669</v>
      </c>
      <c r="J22" s="50" t="s">
        <v>95</v>
      </c>
    </row>
    <row r="23" spans="1:10" ht="20" customHeight="1" thickBot="1" x14ac:dyDescent="0.2">
      <c r="A23" s="8" t="s">
        <v>48</v>
      </c>
      <c r="B23" s="49" t="s">
        <v>81</v>
      </c>
      <c r="C23" s="48" t="s">
        <v>94</v>
      </c>
      <c r="D23" s="9">
        <v>4620</v>
      </c>
      <c r="E23" s="9">
        <v>2040</v>
      </c>
      <c r="F23" s="9">
        <v>3700</v>
      </c>
      <c r="G23" s="13">
        <v>398.4</v>
      </c>
      <c r="H23" s="9">
        <v>44</v>
      </c>
      <c r="I23" s="12">
        <v>45998.907835648148</v>
      </c>
      <c r="J23" s="50" t="s">
        <v>95</v>
      </c>
    </row>
    <row r="24" spans="1:10" ht="20" customHeight="1" thickBot="1" x14ac:dyDescent="0.2">
      <c r="A24" s="8" t="s">
        <v>49</v>
      </c>
      <c r="B24" s="49" t="s">
        <v>82</v>
      </c>
      <c r="C24" s="48" t="s">
        <v>94</v>
      </c>
      <c r="D24" s="10">
        <v>603.75</v>
      </c>
      <c r="E24" s="10">
        <v>32.67</v>
      </c>
      <c r="F24" s="10">
        <v>100.71</v>
      </c>
      <c r="G24" s="10">
        <v>737.13</v>
      </c>
      <c r="H24" s="10">
        <v>179.46</v>
      </c>
      <c r="I24" s="12">
        <v>45999.795937499999</v>
      </c>
      <c r="J24" s="50" t="s">
        <v>95</v>
      </c>
    </row>
    <row r="25" spans="1:10" ht="20" customHeight="1" thickBot="1" x14ac:dyDescent="0.2">
      <c r="A25" s="8" t="s">
        <v>50</v>
      </c>
      <c r="B25" s="49" t="s">
        <v>83</v>
      </c>
      <c r="C25" s="48" t="s">
        <v>94</v>
      </c>
      <c r="D25" s="9">
        <v>11442</v>
      </c>
      <c r="E25" s="9">
        <v>2601</v>
      </c>
      <c r="F25" s="9">
        <v>480</v>
      </c>
      <c r="G25" s="9">
        <v>330</v>
      </c>
      <c r="H25" s="9">
        <v>380</v>
      </c>
      <c r="I25" s="17">
        <v>46000.415497685186</v>
      </c>
      <c r="J25" s="50" t="s">
        <v>95</v>
      </c>
    </row>
    <row r="26" spans="1:10" ht="20" customHeight="1" thickBot="1" x14ac:dyDescent="0.2">
      <c r="A26" s="8" t="s">
        <v>51</v>
      </c>
      <c r="B26" s="49" t="s">
        <v>84</v>
      </c>
      <c r="C26" s="48" t="s">
        <v>94</v>
      </c>
      <c r="D26" s="9">
        <v>5851</v>
      </c>
      <c r="E26" s="9">
        <v>1150</v>
      </c>
      <c r="F26" s="9">
        <v>29</v>
      </c>
      <c r="G26" s="10">
        <v>312.70999999999998</v>
      </c>
      <c r="H26" s="9">
        <v>2584</v>
      </c>
      <c r="I26" s="12">
        <v>45998.753634259258</v>
      </c>
      <c r="J26" s="50" t="s">
        <v>95</v>
      </c>
    </row>
    <row r="27" spans="1:10" ht="20" customHeight="1" thickBot="1" x14ac:dyDescent="0.2">
      <c r="A27" s="8" t="s">
        <v>52</v>
      </c>
      <c r="B27" s="49" t="s">
        <v>85</v>
      </c>
      <c r="C27" s="48" t="s">
        <v>94</v>
      </c>
      <c r="D27" s="10">
        <v>215.98</v>
      </c>
      <c r="E27" s="13">
        <v>84.4</v>
      </c>
      <c r="F27" s="9">
        <v>0</v>
      </c>
      <c r="G27" s="13">
        <v>299.39999999999998</v>
      </c>
      <c r="H27" s="13">
        <v>35.299999999999997</v>
      </c>
      <c r="I27" s="11">
        <v>46001.629756944443</v>
      </c>
      <c r="J27" s="50" t="s">
        <v>95</v>
      </c>
    </row>
    <row r="28" spans="1:10" ht="20" customHeight="1" thickBot="1" x14ac:dyDescent="0.2">
      <c r="A28" s="8" t="s">
        <v>53</v>
      </c>
      <c r="B28" s="49" t="s">
        <v>86</v>
      </c>
      <c r="C28" s="48" t="s">
        <v>94</v>
      </c>
      <c r="D28" s="9">
        <v>1920</v>
      </c>
      <c r="E28" s="9">
        <v>1060</v>
      </c>
      <c r="F28" s="9">
        <v>150</v>
      </c>
      <c r="G28" s="9">
        <v>298</v>
      </c>
      <c r="H28" s="9">
        <v>21</v>
      </c>
      <c r="I28" s="17">
        <v>46000.293229166666</v>
      </c>
      <c r="J28" s="50" t="s">
        <v>95</v>
      </c>
    </row>
    <row r="29" spans="1:10" ht="20" customHeight="1" thickBot="1" x14ac:dyDescent="0.2">
      <c r="A29" s="8" t="s">
        <v>54</v>
      </c>
      <c r="B29" s="49" t="s">
        <v>87</v>
      </c>
      <c r="C29" s="48" t="s">
        <v>94</v>
      </c>
      <c r="D29" s="9">
        <v>4200</v>
      </c>
      <c r="E29" s="9">
        <v>4650</v>
      </c>
      <c r="F29" s="9">
        <v>885</v>
      </c>
      <c r="G29" s="13">
        <v>463.5</v>
      </c>
      <c r="H29" s="9">
        <v>1554</v>
      </c>
      <c r="I29" s="17">
        <v>46000.322569444441</v>
      </c>
      <c r="J29" s="50" t="s">
        <v>95</v>
      </c>
    </row>
    <row r="30" spans="1:10" ht="20" customHeight="1" thickBot="1" x14ac:dyDescent="0.2">
      <c r="A30" s="8" t="s">
        <v>55</v>
      </c>
      <c r="B30" s="49" t="s">
        <v>88</v>
      </c>
      <c r="C30" s="48" t="s">
        <v>94</v>
      </c>
      <c r="D30" s="9">
        <v>3155</v>
      </c>
      <c r="E30" s="9">
        <v>165</v>
      </c>
      <c r="F30" s="9">
        <v>137</v>
      </c>
      <c r="G30" s="9">
        <v>348</v>
      </c>
      <c r="H30" s="9">
        <v>580</v>
      </c>
      <c r="I30" s="12">
        <v>45994.558854166666</v>
      </c>
      <c r="J30" s="50" t="s">
        <v>95</v>
      </c>
    </row>
    <row r="31" spans="1:10" ht="20" customHeight="1" thickBot="1" x14ac:dyDescent="0.2">
      <c r="A31" s="8" t="s">
        <v>56</v>
      </c>
      <c r="B31" s="49" t="s">
        <v>89</v>
      </c>
      <c r="C31" s="48" t="s">
        <v>94</v>
      </c>
      <c r="D31" s="9">
        <v>6630</v>
      </c>
      <c r="E31" s="9">
        <v>397</v>
      </c>
      <c r="F31" s="9">
        <v>840</v>
      </c>
      <c r="G31" s="10">
        <v>357.59</v>
      </c>
      <c r="H31" s="9">
        <v>212</v>
      </c>
      <c r="I31" s="12">
        <v>45999.819907407407</v>
      </c>
      <c r="J31" s="50" t="s">
        <v>95</v>
      </c>
    </row>
    <row r="32" spans="1:10" ht="20" customHeight="1" thickBot="1" x14ac:dyDescent="0.2">
      <c r="A32" s="8" t="s">
        <v>57</v>
      </c>
      <c r="B32" s="49" t="s">
        <v>90</v>
      </c>
      <c r="C32" s="48" t="s">
        <v>94</v>
      </c>
      <c r="D32" s="13">
        <v>2542.5</v>
      </c>
      <c r="E32" s="13">
        <v>149.5</v>
      </c>
      <c r="F32" s="9">
        <v>53</v>
      </c>
      <c r="G32" s="10">
        <v>137.25</v>
      </c>
      <c r="H32" s="13">
        <v>496.5</v>
      </c>
      <c r="I32" s="12">
        <v>45993.522453703707</v>
      </c>
      <c r="J32" s="50" t="s">
        <v>95</v>
      </c>
    </row>
    <row r="33" spans="1:10" ht="20" customHeight="1" thickBot="1" x14ac:dyDescent="0.2">
      <c r="A33" s="8" t="s">
        <v>58</v>
      </c>
      <c r="B33" s="49" t="s">
        <v>91</v>
      </c>
      <c r="C33" s="48" t="s">
        <v>94</v>
      </c>
      <c r="D33" s="9">
        <v>6525</v>
      </c>
      <c r="E33" s="9">
        <v>165</v>
      </c>
      <c r="F33" s="9">
        <v>1160</v>
      </c>
      <c r="G33" s="10">
        <v>336.96</v>
      </c>
      <c r="H33" s="9">
        <v>90</v>
      </c>
      <c r="I33" s="15">
        <v>46001.414722222224</v>
      </c>
      <c r="J33" s="50" t="s">
        <v>95</v>
      </c>
    </row>
    <row r="34" spans="1:10" ht="20" customHeight="1" thickBot="1" x14ac:dyDescent="0.2">
      <c r="A34" s="8" t="s">
        <v>59</v>
      </c>
      <c r="B34" s="49" t="s">
        <v>92</v>
      </c>
      <c r="C34" s="48" t="s">
        <v>94</v>
      </c>
      <c r="D34" s="9">
        <v>9597</v>
      </c>
      <c r="E34" s="9">
        <v>2189</v>
      </c>
      <c r="F34" s="9">
        <v>300</v>
      </c>
      <c r="G34" s="10">
        <v>318.05</v>
      </c>
      <c r="H34" s="9">
        <v>5040</v>
      </c>
      <c r="I34" s="11">
        <v>45985.744050925925</v>
      </c>
      <c r="J34" s="50" t="s">
        <v>95</v>
      </c>
    </row>
    <row r="35" spans="1:10" ht="20" customHeight="1" thickBot="1" x14ac:dyDescent="0.2">
      <c r="A35" s="8" t="s">
        <v>60</v>
      </c>
      <c r="B35" s="49" t="s">
        <v>93</v>
      </c>
      <c r="C35" s="48" t="s">
        <v>94</v>
      </c>
      <c r="D35" s="9">
        <v>3000</v>
      </c>
      <c r="E35" s="9">
        <v>716</v>
      </c>
      <c r="F35" s="9">
        <v>60</v>
      </c>
      <c r="G35" s="9">
        <v>315</v>
      </c>
      <c r="H35" s="9">
        <v>223</v>
      </c>
      <c r="I35" s="12">
        <v>45996.508321759262</v>
      </c>
      <c r="J35" s="50" t="s">
        <v>95</v>
      </c>
    </row>
  </sheetData>
  <mergeCells count="1">
    <mergeCell ref="A1:J1"/>
  </mergeCells>
  <phoneticPr fontId="7" type="noConversion"/>
  <hyperlinks>
    <hyperlink ref="C3" r:id="rId1" xr:uid="{CAAC6250-2BA1-CA43-BC1E-614ACA412148}"/>
    <hyperlink ref="C4:C35" r:id="rId2" display="responsavel@example.com" xr:uid="{7C7D695A-4CE3-B04D-A552-4D1D8223AE45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5"/>
  <sheetViews>
    <sheetView showGridLines="0" workbookViewId="0">
      <selection activeCell="A3" sqref="A3:A35"/>
    </sheetView>
  </sheetViews>
  <sheetFormatPr baseColWidth="10" defaultColWidth="8.33203125" defaultRowHeight="20" customHeight="1" x14ac:dyDescent="0.15"/>
  <cols>
    <col min="1" max="1" width="60.5" style="1" customWidth="1"/>
    <col min="2" max="2" width="19.6640625" style="1" customWidth="1"/>
    <col min="3" max="6" width="19.5" style="1" customWidth="1"/>
    <col min="7" max="7" width="8.33203125" style="1" customWidth="1"/>
    <col min="8" max="16384" width="8.33203125" style="1"/>
  </cols>
  <sheetData>
    <row r="1" spans="1:6" ht="27.75" customHeight="1" x14ac:dyDescent="0.15">
      <c r="A1" s="41" t="s">
        <v>16</v>
      </c>
      <c r="B1" s="42"/>
      <c r="C1" s="42"/>
      <c r="D1" s="42"/>
      <c r="E1" s="42"/>
      <c r="F1" s="42"/>
    </row>
    <row r="2" spans="1:6" ht="20.25" customHeight="1" x14ac:dyDescent="0.15">
      <c r="A2" s="2" t="s">
        <v>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</row>
    <row r="3" spans="1:6" ht="20.25" customHeight="1" x14ac:dyDescent="0.15">
      <c r="A3" s="3" t="s">
        <v>28</v>
      </c>
      <c r="B3" s="18">
        <f>IFERROR(AVERAGE(Avaliadores!B3:D3),0)</f>
        <v>1</v>
      </c>
      <c r="C3" s="4">
        <f>IFERROR(AVERAGE(Avaliadores!E3:G3),0)</f>
        <v>2</v>
      </c>
      <c r="D3" s="4">
        <f>IFERROR(AVERAGE(Avaliadores!H3:J3),0)</f>
        <v>3</v>
      </c>
      <c r="E3" s="4">
        <f>IFERROR(AVERAGE(Avaliadores!K3:M3),0)</f>
        <v>4</v>
      </c>
      <c r="F3" s="4">
        <f>IFERROR(AVERAGE(Avaliadores!N3:P3),0)</f>
        <v>5</v>
      </c>
    </row>
    <row r="4" spans="1:6" ht="20" customHeight="1" x14ac:dyDescent="0.15">
      <c r="A4" s="8" t="s">
        <v>29</v>
      </c>
      <c r="B4" s="18">
        <f>IFERROR(AVERAGE(Avaliadores!B4:D4),0)</f>
        <v>1</v>
      </c>
      <c r="C4" s="4">
        <f>IFERROR(AVERAGE(Avaliadores!E4:G4),0)</f>
        <v>2</v>
      </c>
      <c r="D4" s="4">
        <f>IFERROR(AVERAGE(Avaliadores!H4:J4),0)</f>
        <v>3</v>
      </c>
      <c r="E4" s="4">
        <f>IFERROR(AVERAGE(Avaliadores!K4:M4),0)</f>
        <v>4</v>
      </c>
      <c r="F4" s="4">
        <f>IFERROR(AVERAGE(Avaliadores!N4:P4),0)</f>
        <v>5</v>
      </c>
    </row>
    <row r="5" spans="1:6" ht="20" customHeight="1" x14ac:dyDescent="0.15">
      <c r="A5" s="8" t="s">
        <v>30</v>
      </c>
      <c r="B5" s="18">
        <f>IFERROR(AVERAGE(Avaliadores!B5:D5),0)</f>
        <v>1</v>
      </c>
      <c r="C5" s="4">
        <f>IFERROR(AVERAGE(Avaliadores!E5:G5),0)</f>
        <v>2</v>
      </c>
      <c r="D5" s="4">
        <f>IFERROR(AVERAGE(Avaliadores!H5:J5),0)</f>
        <v>3</v>
      </c>
      <c r="E5" s="4">
        <f>IFERROR(AVERAGE(Avaliadores!K5:M5),0)</f>
        <v>4</v>
      </c>
      <c r="F5" s="4">
        <f>IFERROR(AVERAGE(Avaliadores!N5:P5),0)</f>
        <v>5</v>
      </c>
    </row>
    <row r="6" spans="1:6" ht="20" customHeight="1" x14ac:dyDescent="0.15">
      <c r="A6" s="8" t="s">
        <v>31</v>
      </c>
      <c r="B6" s="18">
        <f>IFERROR(AVERAGE(Avaliadores!B6:D6),0)</f>
        <v>1</v>
      </c>
      <c r="C6" s="4">
        <f>IFERROR(AVERAGE(Avaliadores!E6:G6),0)</f>
        <v>2</v>
      </c>
      <c r="D6" s="4">
        <f>IFERROR(AVERAGE(Avaliadores!H6:J6),0)</f>
        <v>3</v>
      </c>
      <c r="E6" s="4">
        <f>IFERROR(AVERAGE(Avaliadores!K6:M6),0)</f>
        <v>4</v>
      </c>
      <c r="F6" s="4">
        <f>IFERROR(AVERAGE(Avaliadores!N6:P6),0)</f>
        <v>5</v>
      </c>
    </row>
    <row r="7" spans="1:6" ht="20" customHeight="1" x14ac:dyDescent="0.15">
      <c r="A7" s="8" t="s">
        <v>32</v>
      </c>
      <c r="B7" s="18">
        <f>IFERROR(AVERAGE(Avaliadores!B7:D7),0)</f>
        <v>1</v>
      </c>
      <c r="C7" s="4">
        <f>IFERROR(AVERAGE(Avaliadores!E7:G7),0)</f>
        <v>2</v>
      </c>
      <c r="D7" s="4">
        <f>IFERROR(AVERAGE(Avaliadores!H7:J7),0)</f>
        <v>3</v>
      </c>
      <c r="E7" s="4">
        <f>IFERROR(AVERAGE(Avaliadores!K7:M7),0)</f>
        <v>4</v>
      </c>
      <c r="F7" s="4">
        <f>IFERROR(AVERAGE(Avaliadores!N7:P7),0)</f>
        <v>5</v>
      </c>
    </row>
    <row r="8" spans="1:6" ht="20" customHeight="1" x14ac:dyDescent="0.15">
      <c r="A8" s="8" t="s">
        <v>33</v>
      </c>
      <c r="B8" s="18">
        <f>IFERROR(AVERAGE(Avaliadores!B8:D8),0)</f>
        <v>1</v>
      </c>
      <c r="C8" s="4">
        <f>IFERROR(AVERAGE(Avaliadores!E8:G8),0)</f>
        <v>2</v>
      </c>
      <c r="D8" s="4">
        <f>IFERROR(AVERAGE(Avaliadores!H8:J8),0)</f>
        <v>3</v>
      </c>
      <c r="E8" s="4">
        <f>IFERROR(AVERAGE(Avaliadores!K8:M8),0)</f>
        <v>4</v>
      </c>
      <c r="F8" s="4">
        <f>IFERROR(AVERAGE(Avaliadores!N8:P8),0)</f>
        <v>5</v>
      </c>
    </row>
    <row r="9" spans="1:6" ht="20" customHeight="1" x14ac:dyDescent="0.15">
      <c r="A9" s="8" t="s">
        <v>34</v>
      </c>
      <c r="B9" s="18">
        <f>IFERROR(AVERAGE(Avaliadores!B9:D9),0)</f>
        <v>1</v>
      </c>
      <c r="C9" s="4">
        <f>IFERROR(AVERAGE(Avaliadores!E9:G9),0)</f>
        <v>2</v>
      </c>
      <c r="D9" s="4">
        <f>IFERROR(AVERAGE(Avaliadores!H9:J9),0)</f>
        <v>3</v>
      </c>
      <c r="E9" s="4">
        <f>IFERROR(AVERAGE(Avaliadores!K9:M9),0)</f>
        <v>4</v>
      </c>
      <c r="F9" s="4">
        <f>IFERROR(AVERAGE(Avaliadores!N9:P9),0)</f>
        <v>5</v>
      </c>
    </row>
    <row r="10" spans="1:6" ht="20" customHeight="1" x14ac:dyDescent="0.15">
      <c r="A10" s="8" t="s">
        <v>35</v>
      </c>
      <c r="B10" s="18">
        <f>IFERROR(AVERAGE(Avaliadores!B10:D10),0)</f>
        <v>1</v>
      </c>
      <c r="C10" s="4">
        <f>IFERROR(AVERAGE(Avaliadores!E10:G10),0)</f>
        <v>2</v>
      </c>
      <c r="D10" s="4">
        <f>IFERROR(AVERAGE(Avaliadores!H10:J10),0)</f>
        <v>3</v>
      </c>
      <c r="E10" s="4">
        <f>IFERROR(AVERAGE(Avaliadores!K10:M10),0)</f>
        <v>4</v>
      </c>
      <c r="F10" s="4">
        <f>IFERROR(AVERAGE(Avaliadores!N10:P10),0)</f>
        <v>5</v>
      </c>
    </row>
    <row r="11" spans="1:6" ht="20" customHeight="1" x14ac:dyDescent="0.15">
      <c r="A11" s="8" t="s">
        <v>36</v>
      </c>
      <c r="B11" s="18">
        <f>IFERROR(AVERAGE(Avaliadores!B11:D11),0)</f>
        <v>1</v>
      </c>
      <c r="C11" s="4">
        <f>IFERROR(AVERAGE(Avaliadores!E11:G11),0)</f>
        <v>2</v>
      </c>
      <c r="D11" s="4">
        <f>IFERROR(AVERAGE(Avaliadores!H11:J11),0)</f>
        <v>3</v>
      </c>
      <c r="E11" s="4">
        <f>IFERROR(AVERAGE(Avaliadores!K11:M11),0)</f>
        <v>4</v>
      </c>
      <c r="F11" s="4">
        <f>IFERROR(AVERAGE(Avaliadores!N11:P11),0)</f>
        <v>5</v>
      </c>
    </row>
    <row r="12" spans="1:6" ht="20" customHeight="1" x14ac:dyDescent="0.15">
      <c r="A12" s="8" t="s">
        <v>37</v>
      </c>
      <c r="B12" s="18">
        <f>IFERROR(AVERAGE(Avaliadores!B12:D12),0)</f>
        <v>1</v>
      </c>
      <c r="C12" s="4">
        <f>IFERROR(AVERAGE(Avaliadores!E12:G12),0)</f>
        <v>2</v>
      </c>
      <c r="D12" s="4">
        <f>IFERROR(AVERAGE(Avaliadores!H12:J12),0)</f>
        <v>3</v>
      </c>
      <c r="E12" s="4">
        <f>IFERROR(AVERAGE(Avaliadores!K12:M12),0)</f>
        <v>4</v>
      </c>
      <c r="F12" s="4">
        <f>IFERROR(AVERAGE(Avaliadores!N12:P12),0)</f>
        <v>5</v>
      </c>
    </row>
    <row r="13" spans="1:6" ht="20" customHeight="1" x14ac:dyDescent="0.15">
      <c r="A13" s="8" t="s">
        <v>38</v>
      </c>
      <c r="B13" s="18">
        <f>IFERROR(AVERAGE(Avaliadores!B13:D13),0)</f>
        <v>1</v>
      </c>
      <c r="C13" s="4">
        <f>IFERROR(AVERAGE(Avaliadores!E13:G13),0)</f>
        <v>2</v>
      </c>
      <c r="D13" s="4">
        <f>IFERROR(AVERAGE(Avaliadores!H13:J13),0)</f>
        <v>3</v>
      </c>
      <c r="E13" s="4">
        <f>IFERROR(AVERAGE(Avaliadores!K13:M13),0)</f>
        <v>4</v>
      </c>
      <c r="F13" s="4">
        <f>IFERROR(AVERAGE(Avaliadores!N13:P13),0)</f>
        <v>5</v>
      </c>
    </row>
    <row r="14" spans="1:6" ht="20" customHeight="1" x14ac:dyDescent="0.15">
      <c r="A14" s="8" t="s">
        <v>39</v>
      </c>
      <c r="B14" s="18">
        <f>IFERROR(AVERAGE(Avaliadores!B14:D14),0)</f>
        <v>1</v>
      </c>
      <c r="C14" s="4">
        <f>IFERROR(AVERAGE(Avaliadores!E14:G14),0)</f>
        <v>2</v>
      </c>
      <c r="D14" s="4">
        <f>IFERROR(AVERAGE(Avaliadores!H14:J14),0)</f>
        <v>3</v>
      </c>
      <c r="E14" s="4">
        <f>IFERROR(AVERAGE(Avaliadores!K14:M14),0)</f>
        <v>4</v>
      </c>
      <c r="F14" s="4">
        <f>IFERROR(AVERAGE(Avaliadores!N14:P14),0)</f>
        <v>5</v>
      </c>
    </row>
    <row r="15" spans="1:6" ht="20" customHeight="1" x14ac:dyDescent="0.15">
      <c r="A15" s="8" t="s">
        <v>40</v>
      </c>
      <c r="B15" s="18">
        <f>IFERROR(AVERAGE(Avaliadores!B15:D15),0)</f>
        <v>1</v>
      </c>
      <c r="C15" s="4">
        <f>IFERROR(AVERAGE(Avaliadores!E15:G15),0)</f>
        <v>2</v>
      </c>
      <c r="D15" s="4">
        <f>IFERROR(AVERAGE(Avaliadores!H15:J15),0)</f>
        <v>3</v>
      </c>
      <c r="E15" s="4">
        <f>IFERROR(AVERAGE(Avaliadores!K15:M15),0)</f>
        <v>4</v>
      </c>
      <c r="F15" s="4">
        <f>IFERROR(AVERAGE(Avaliadores!N15:P15),0)</f>
        <v>5</v>
      </c>
    </row>
    <row r="16" spans="1:6" ht="20" customHeight="1" x14ac:dyDescent="0.15">
      <c r="A16" s="8" t="s">
        <v>41</v>
      </c>
      <c r="B16" s="18">
        <f>IFERROR(AVERAGE(Avaliadores!B16:D16),0)</f>
        <v>1</v>
      </c>
      <c r="C16" s="4">
        <f>IFERROR(AVERAGE(Avaliadores!E16:G16),0)</f>
        <v>2</v>
      </c>
      <c r="D16" s="4">
        <f>IFERROR(AVERAGE(Avaliadores!H16:J16),0)</f>
        <v>3</v>
      </c>
      <c r="E16" s="4">
        <f>IFERROR(AVERAGE(Avaliadores!K16:M16),0)</f>
        <v>4</v>
      </c>
      <c r="F16" s="4">
        <f>IFERROR(AVERAGE(Avaliadores!N16:P16),0)</f>
        <v>5</v>
      </c>
    </row>
    <row r="17" spans="1:6" ht="20" customHeight="1" x14ac:dyDescent="0.15">
      <c r="A17" s="8" t="s">
        <v>42</v>
      </c>
      <c r="B17" s="18">
        <f>IFERROR(AVERAGE(Avaliadores!B17:D17),0)</f>
        <v>1</v>
      </c>
      <c r="C17" s="4">
        <f>IFERROR(AVERAGE(Avaliadores!E17:G17),0)</f>
        <v>2</v>
      </c>
      <c r="D17" s="4">
        <f>IFERROR(AVERAGE(Avaliadores!H17:J17),0)</f>
        <v>3</v>
      </c>
      <c r="E17" s="4">
        <f>IFERROR(AVERAGE(Avaliadores!K17:M17),0)</f>
        <v>4</v>
      </c>
      <c r="F17" s="4">
        <f>IFERROR(AVERAGE(Avaliadores!N17:P17),0)</f>
        <v>5</v>
      </c>
    </row>
    <row r="18" spans="1:6" ht="20" customHeight="1" x14ac:dyDescent="0.15">
      <c r="A18" s="8" t="s">
        <v>43</v>
      </c>
      <c r="B18" s="18">
        <f>IFERROR(AVERAGE(Avaliadores!B18:D18),0)</f>
        <v>1</v>
      </c>
      <c r="C18" s="4">
        <f>IFERROR(AVERAGE(Avaliadores!E18:G18),0)</f>
        <v>2</v>
      </c>
      <c r="D18" s="4">
        <f>IFERROR(AVERAGE(Avaliadores!H18:J18),0)</f>
        <v>3</v>
      </c>
      <c r="E18" s="4">
        <f>IFERROR(AVERAGE(Avaliadores!K18:M18),0)</f>
        <v>4</v>
      </c>
      <c r="F18" s="4">
        <f>IFERROR(AVERAGE(Avaliadores!N18:P18),0)</f>
        <v>5</v>
      </c>
    </row>
    <row r="19" spans="1:6" ht="20" customHeight="1" x14ac:dyDescent="0.15">
      <c r="A19" s="8" t="s">
        <v>44</v>
      </c>
      <c r="B19" s="18">
        <f>IFERROR(AVERAGE(Avaliadores!B19:D19),0)</f>
        <v>1</v>
      </c>
      <c r="C19" s="4">
        <f>IFERROR(AVERAGE(Avaliadores!E19:G19),0)</f>
        <v>2</v>
      </c>
      <c r="D19" s="4">
        <f>IFERROR(AVERAGE(Avaliadores!H19:J19),0)</f>
        <v>3</v>
      </c>
      <c r="E19" s="4">
        <f>IFERROR(AVERAGE(Avaliadores!K19:M19),0)</f>
        <v>4</v>
      </c>
      <c r="F19" s="4">
        <f>IFERROR(AVERAGE(Avaliadores!N19:P19),0)</f>
        <v>5</v>
      </c>
    </row>
    <row r="20" spans="1:6" ht="20" customHeight="1" x14ac:dyDescent="0.15">
      <c r="A20" s="8" t="s">
        <v>45</v>
      </c>
      <c r="B20" s="18">
        <f>IFERROR(AVERAGE(Avaliadores!B20:D20),0)</f>
        <v>1</v>
      </c>
      <c r="C20" s="4">
        <f>IFERROR(AVERAGE(Avaliadores!E20:G20),0)</f>
        <v>2</v>
      </c>
      <c r="D20" s="4">
        <f>IFERROR(AVERAGE(Avaliadores!H20:J20),0)</f>
        <v>3</v>
      </c>
      <c r="E20" s="4">
        <f>IFERROR(AVERAGE(Avaliadores!K20:M20),0)</f>
        <v>4</v>
      </c>
      <c r="F20" s="4">
        <f>IFERROR(AVERAGE(Avaliadores!N20:P20),0)</f>
        <v>5</v>
      </c>
    </row>
    <row r="21" spans="1:6" ht="20" customHeight="1" x14ac:dyDescent="0.15">
      <c r="A21" s="8" t="s">
        <v>46</v>
      </c>
      <c r="B21" s="18">
        <f>IFERROR(AVERAGE(Avaliadores!B21:D21),0)</f>
        <v>1</v>
      </c>
      <c r="C21" s="4">
        <f>IFERROR(AVERAGE(Avaliadores!E21:G21),0)</f>
        <v>2</v>
      </c>
      <c r="D21" s="4">
        <f>IFERROR(AVERAGE(Avaliadores!H21:J21),0)</f>
        <v>3</v>
      </c>
      <c r="E21" s="4">
        <f>IFERROR(AVERAGE(Avaliadores!K21:M21),0)</f>
        <v>4</v>
      </c>
      <c r="F21" s="4">
        <f>IFERROR(AVERAGE(Avaliadores!N21:P21),0)</f>
        <v>5</v>
      </c>
    </row>
    <row r="22" spans="1:6" ht="20" customHeight="1" x14ac:dyDescent="0.15">
      <c r="A22" s="8" t="s">
        <v>47</v>
      </c>
      <c r="B22" s="18">
        <f>IFERROR(AVERAGE(Avaliadores!B22:D22),0)</f>
        <v>1</v>
      </c>
      <c r="C22" s="4">
        <f>IFERROR(AVERAGE(Avaliadores!E22:G22),0)</f>
        <v>2</v>
      </c>
      <c r="D22" s="4">
        <f>IFERROR(AVERAGE(Avaliadores!H22:J22),0)</f>
        <v>3</v>
      </c>
      <c r="E22" s="4">
        <f>IFERROR(AVERAGE(Avaliadores!K22:M22),0)</f>
        <v>4</v>
      </c>
      <c r="F22" s="4">
        <f>IFERROR(AVERAGE(Avaliadores!N22:P22),0)</f>
        <v>5</v>
      </c>
    </row>
    <row r="23" spans="1:6" ht="20" customHeight="1" x14ac:dyDescent="0.15">
      <c r="A23" s="8" t="s">
        <v>48</v>
      </c>
      <c r="B23" s="18">
        <f>IFERROR(AVERAGE(Avaliadores!B23:D23),0)</f>
        <v>1</v>
      </c>
      <c r="C23" s="4">
        <f>IFERROR(AVERAGE(Avaliadores!E23:G23),0)</f>
        <v>2</v>
      </c>
      <c r="D23" s="4">
        <f>IFERROR(AVERAGE(Avaliadores!H23:J23),0)</f>
        <v>3</v>
      </c>
      <c r="E23" s="4">
        <f>IFERROR(AVERAGE(Avaliadores!K23:M23),0)</f>
        <v>4</v>
      </c>
      <c r="F23" s="4">
        <f>IFERROR(AVERAGE(Avaliadores!N23:P23),0)</f>
        <v>5</v>
      </c>
    </row>
    <row r="24" spans="1:6" ht="20" customHeight="1" x14ac:dyDescent="0.15">
      <c r="A24" s="8" t="s">
        <v>49</v>
      </c>
      <c r="B24" s="18">
        <f>IFERROR(AVERAGE(Avaliadores!B24:D24),0)</f>
        <v>1</v>
      </c>
      <c r="C24" s="4">
        <f>IFERROR(AVERAGE(Avaliadores!E24:G24),0)</f>
        <v>2</v>
      </c>
      <c r="D24" s="4">
        <f>IFERROR(AVERAGE(Avaliadores!H24:J24),0)</f>
        <v>3</v>
      </c>
      <c r="E24" s="4">
        <f>IFERROR(AVERAGE(Avaliadores!K24:M24),0)</f>
        <v>4</v>
      </c>
      <c r="F24" s="4">
        <f>IFERROR(AVERAGE(Avaliadores!N24:P24),0)</f>
        <v>5</v>
      </c>
    </row>
    <row r="25" spans="1:6" ht="20" customHeight="1" x14ac:dyDescent="0.15">
      <c r="A25" s="8" t="s">
        <v>50</v>
      </c>
      <c r="B25" s="18">
        <f>IFERROR(AVERAGE(Avaliadores!B25:D25),0)</f>
        <v>1</v>
      </c>
      <c r="C25" s="4">
        <f>IFERROR(AVERAGE(Avaliadores!E25:G25),0)</f>
        <v>2</v>
      </c>
      <c r="D25" s="4">
        <f>IFERROR(AVERAGE(Avaliadores!H25:J25),0)</f>
        <v>3</v>
      </c>
      <c r="E25" s="4">
        <f>IFERROR(AVERAGE(Avaliadores!K25:M25),0)</f>
        <v>4</v>
      </c>
      <c r="F25" s="4">
        <f>IFERROR(AVERAGE(Avaliadores!N25:P25),0)</f>
        <v>5</v>
      </c>
    </row>
    <row r="26" spans="1:6" ht="20" customHeight="1" x14ac:dyDescent="0.15">
      <c r="A26" s="8" t="s">
        <v>51</v>
      </c>
      <c r="B26" s="18">
        <f>IFERROR(AVERAGE(Avaliadores!B26:D26),0)</f>
        <v>1</v>
      </c>
      <c r="C26" s="4">
        <f>IFERROR(AVERAGE(Avaliadores!E26:G26),0)</f>
        <v>2</v>
      </c>
      <c r="D26" s="4">
        <f>IFERROR(AVERAGE(Avaliadores!H26:J26),0)</f>
        <v>3</v>
      </c>
      <c r="E26" s="4">
        <f>IFERROR(AVERAGE(Avaliadores!K26:M26),0)</f>
        <v>4</v>
      </c>
      <c r="F26" s="4">
        <f>IFERROR(AVERAGE(Avaliadores!N26:P26),0)</f>
        <v>5</v>
      </c>
    </row>
    <row r="27" spans="1:6" ht="20" customHeight="1" x14ac:dyDescent="0.15">
      <c r="A27" s="8" t="s">
        <v>52</v>
      </c>
      <c r="B27" s="18">
        <f>IFERROR(AVERAGE(Avaliadores!B27:D27),0)</f>
        <v>1</v>
      </c>
      <c r="C27" s="4">
        <f>IFERROR(AVERAGE(Avaliadores!E27:G27),0)</f>
        <v>2</v>
      </c>
      <c r="D27" s="4">
        <f>IFERROR(AVERAGE(Avaliadores!H27:J27),0)</f>
        <v>3</v>
      </c>
      <c r="E27" s="4">
        <f>IFERROR(AVERAGE(Avaliadores!K27:M27),0)</f>
        <v>4</v>
      </c>
      <c r="F27" s="4">
        <f>IFERROR(AVERAGE(Avaliadores!N27:P27),0)</f>
        <v>5</v>
      </c>
    </row>
    <row r="28" spans="1:6" ht="20" customHeight="1" x14ac:dyDescent="0.15">
      <c r="A28" s="8" t="s">
        <v>53</v>
      </c>
      <c r="B28" s="18">
        <f>IFERROR(AVERAGE(Avaliadores!B28:D28),0)</f>
        <v>1</v>
      </c>
      <c r="C28" s="4">
        <f>IFERROR(AVERAGE(Avaliadores!E28:G28),0)</f>
        <v>2</v>
      </c>
      <c r="D28" s="4">
        <f>IFERROR(AVERAGE(Avaliadores!H28:J28),0)</f>
        <v>3</v>
      </c>
      <c r="E28" s="4">
        <f>IFERROR(AVERAGE(Avaliadores!K28:M28),0)</f>
        <v>4</v>
      </c>
      <c r="F28" s="4">
        <f>IFERROR(AVERAGE(Avaliadores!N28:P28),0)</f>
        <v>5</v>
      </c>
    </row>
    <row r="29" spans="1:6" ht="20" customHeight="1" x14ac:dyDescent="0.15">
      <c r="A29" s="8" t="s">
        <v>54</v>
      </c>
      <c r="B29" s="18">
        <f>IFERROR(AVERAGE(Avaliadores!B29:D29),0)</f>
        <v>1</v>
      </c>
      <c r="C29" s="4">
        <f>IFERROR(AVERAGE(Avaliadores!E29:G29),0)</f>
        <v>2</v>
      </c>
      <c r="D29" s="4">
        <f>IFERROR(AVERAGE(Avaliadores!H29:J29),0)</f>
        <v>3</v>
      </c>
      <c r="E29" s="4">
        <f>IFERROR(AVERAGE(Avaliadores!K29:M29),0)</f>
        <v>4</v>
      </c>
      <c r="F29" s="4">
        <f>IFERROR(AVERAGE(Avaliadores!N29:P29),0)</f>
        <v>5</v>
      </c>
    </row>
    <row r="30" spans="1:6" ht="20" customHeight="1" x14ac:dyDescent="0.15">
      <c r="A30" s="8" t="s">
        <v>55</v>
      </c>
      <c r="B30" s="18">
        <f>IFERROR(AVERAGE(Avaliadores!B30:D30),0)</f>
        <v>1</v>
      </c>
      <c r="C30" s="4">
        <f>IFERROR(AVERAGE(Avaliadores!E30:G30),0)</f>
        <v>2</v>
      </c>
      <c r="D30" s="4">
        <f>IFERROR(AVERAGE(Avaliadores!H30:J30),0)</f>
        <v>3</v>
      </c>
      <c r="E30" s="4">
        <f>IFERROR(AVERAGE(Avaliadores!K30:M30),0)</f>
        <v>4</v>
      </c>
      <c r="F30" s="4">
        <f>IFERROR(AVERAGE(Avaliadores!N30:P30),0)</f>
        <v>5</v>
      </c>
    </row>
    <row r="31" spans="1:6" ht="20" customHeight="1" x14ac:dyDescent="0.15">
      <c r="A31" s="8" t="s">
        <v>56</v>
      </c>
      <c r="B31" s="18">
        <f>IFERROR(AVERAGE(Avaliadores!B31:D31),0)</f>
        <v>1</v>
      </c>
      <c r="C31" s="4">
        <f>IFERROR(AVERAGE(Avaliadores!E31:G31),0)</f>
        <v>2</v>
      </c>
      <c r="D31" s="4">
        <f>IFERROR(AVERAGE(Avaliadores!H31:J31),0)</f>
        <v>3</v>
      </c>
      <c r="E31" s="4">
        <f>IFERROR(AVERAGE(Avaliadores!K31:M31),0)</f>
        <v>4</v>
      </c>
      <c r="F31" s="4">
        <f>IFERROR(AVERAGE(Avaliadores!N31:P31),0)</f>
        <v>5</v>
      </c>
    </row>
    <row r="32" spans="1:6" ht="20" customHeight="1" x14ac:dyDescent="0.15">
      <c r="A32" s="8" t="s">
        <v>57</v>
      </c>
      <c r="B32" s="18">
        <f>IFERROR(AVERAGE(Avaliadores!B32:D32),0)</f>
        <v>1</v>
      </c>
      <c r="C32" s="4">
        <f>IFERROR(AVERAGE(Avaliadores!E32:G32),0)</f>
        <v>2</v>
      </c>
      <c r="D32" s="4">
        <f>IFERROR(AVERAGE(Avaliadores!H32:J32),0)</f>
        <v>3</v>
      </c>
      <c r="E32" s="4">
        <f>IFERROR(AVERAGE(Avaliadores!K32:M32),0)</f>
        <v>4</v>
      </c>
      <c r="F32" s="4">
        <f>IFERROR(AVERAGE(Avaliadores!N32:P32),0)</f>
        <v>5</v>
      </c>
    </row>
    <row r="33" spans="1:6" ht="20" customHeight="1" x14ac:dyDescent="0.15">
      <c r="A33" s="8" t="s">
        <v>58</v>
      </c>
      <c r="B33" s="18">
        <f>IFERROR(AVERAGE(Avaliadores!B33:D33),0)</f>
        <v>1</v>
      </c>
      <c r="C33" s="4">
        <f>IFERROR(AVERAGE(Avaliadores!E33:G33),0)</f>
        <v>2</v>
      </c>
      <c r="D33" s="4">
        <f>IFERROR(AVERAGE(Avaliadores!H33:J33),0)</f>
        <v>3</v>
      </c>
      <c r="E33" s="4">
        <f>IFERROR(AVERAGE(Avaliadores!K33:M33),0)</f>
        <v>4</v>
      </c>
      <c r="F33" s="4">
        <f>IFERROR(AVERAGE(Avaliadores!N33:P33),0)</f>
        <v>5</v>
      </c>
    </row>
    <row r="34" spans="1:6" ht="20" customHeight="1" x14ac:dyDescent="0.15">
      <c r="A34" s="8" t="s">
        <v>59</v>
      </c>
      <c r="B34" s="18">
        <f>IFERROR(AVERAGE(Avaliadores!B34:D34),0)</f>
        <v>1</v>
      </c>
      <c r="C34" s="4">
        <f>IFERROR(AVERAGE(Avaliadores!E34:G34),0)</f>
        <v>2</v>
      </c>
      <c r="D34" s="4">
        <f>IFERROR(AVERAGE(Avaliadores!H34:J34),0)</f>
        <v>3</v>
      </c>
      <c r="E34" s="4">
        <f>IFERROR(AVERAGE(Avaliadores!K34:M34),0)</f>
        <v>4</v>
      </c>
      <c r="F34" s="4">
        <f>IFERROR(AVERAGE(Avaliadores!N34:P34),0)</f>
        <v>5</v>
      </c>
    </row>
    <row r="35" spans="1:6" ht="20" customHeight="1" x14ac:dyDescent="0.15">
      <c r="A35" s="8" t="s">
        <v>60</v>
      </c>
      <c r="B35" s="18">
        <f>IFERROR(AVERAGE(Avaliadores!B35:D35),0)</f>
        <v>1</v>
      </c>
      <c r="C35" s="4">
        <f>IFERROR(AVERAGE(Avaliadores!E35:G35),0)</f>
        <v>2</v>
      </c>
      <c r="D35" s="4">
        <f>IFERROR(AVERAGE(Avaliadores!H35:J35),0)</f>
        <v>3</v>
      </c>
      <c r="E35" s="4">
        <f>IFERROR(AVERAGE(Avaliadores!K35:M35),0)</f>
        <v>4</v>
      </c>
      <c r="F35" s="4">
        <f>IFERROR(AVERAGE(Avaliadores!N35:P35),0)</f>
        <v>5</v>
      </c>
    </row>
  </sheetData>
  <mergeCells count="1">
    <mergeCell ref="A1:F1"/>
  </mergeCells>
  <pageMargins left="1" right="1" top="1" bottom="1" header="0.25" footer="0.25"/>
  <pageSetup orientation="portrait"/>
  <headerFooter>
    <oddFooter>&amp;C&amp;"Helvetica Neue,Regular"&amp;12&amp;K000000&amp;P</oddFooter>
  </headerFooter>
  <ignoredErrors>
    <ignoredError sqref="B34:B3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61A6B-CB0E-3146-A182-AAA46C32754D}">
  <sheetPr>
    <pageSetUpPr fitToPage="1"/>
  </sheetPr>
  <dimension ref="A1:P35"/>
  <sheetViews>
    <sheetView showGridLines="0" workbookViewId="0">
      <selection activeCell="B4" sqref="B4:P35"/>
    </sheetView>
  </sheetViews>
  <sheetFormatPr baseColWidth="10" defaultColWidth="8.33203125" defaultRowHeight="20" customHeight="1" x14ac:dyDescent="0.15"/>
  <cols>
    <col min="1" max="1" width="60.5" style="1" customWidth="1"/>
    <col min="2" max="16" width="10.33203125" style="1" bestFit="1" customWidth="1"/>
    <col min="17" max="16384" width="8.33203125" style="1"/>
  </cols>
  <sheetData>
    <row r="1" spans="1:16" ht="27.75" customHeight="1" x14ac:dyDescent="0.15">
      <c r="A1" s="46" t="s">
        <v>0</v>
      </c>
      <c r="B1" s="43" t="s">
        <v>10</v>
      </c>
      <c r="C1" s="44"/>
      <c r="D1" s="45"/>
      <c r="E1" s="43" t="s">
        <v>11</v>
      </c>
      <c r="F1" s="44"/>
      <c r="G1" s="45"/>
      <c r="H1" s="43" t="s">
        <v>12</v>
      </c>
      <c r="I1" s="44"/>
      <c r="J1" s="45"/>
      <c r="K1" s="43" t="s">
        <v>13</v>
      </c>
      <c r="L1" s="44"/>
      <c r="M1" s="45"/>
      <c r="N1" s="43" t="s">
        <v>14</v>
      </c>
      <c r="O1" s="44"/>
      <c r="P1" s="45"/>
    </row>
    <row r="2" spans="1:16" ht="20.25" customHeight="1" x14ac:dyDescent="0.15">
      <c r="A2" s="47"/>
      <c r="B2" s="22" t="s">
        <v>17</v>
      </c>
      <c r="C2" s="21" t="s">
        <v>18</v>
      </c>
      <c r="D2" s="23" t="s">
        <v>19</v>
      </c>
      <c r="E2" s="22" t="s">
        <v>17</v>
      </c>
      <c r="F2" s="21" t="s">
        <v>18</v>
      </c>
      <c r="G2" s="23" t="s">
        <v>19</v>
      </c>
      <c r="H2" s="22" t="s">
        <v>17</v>
      </c>
      <c r="I2" s="21" t="s">
        <v>18</v>
      </c>
      <c r="J2" s="23" t="s">
        <v>19</v>
      </c>
      <c r="K2" s="22" t="s">
        <v>17</v>
      </c>
      <c r="L2" s="21" t="s">
        <v>18</v>
      </c>
      <c r="M2" s="23" t="s">
        <v>19</v>
      </c>
      <c r="N2" s="22" t="s">
        <v>17</v>
      </c>
      <c r="O2" s="21" t="s">
        <v>18</v>
      </c>
      <c r="P2" s="23" t="s">
        <v>19</v>
      </c>
    </row>
    <row r="3" spans="1:16" ht="20.25" customHeight="1" x14ac:dyDescent="0.15">
      <c r="A3" s="19" t="s">
        <v>28</v>
      </c>
      <c r="B3" s="27">
        <v>1</v>
      </c>
      <c r="C3" s="28">
        <v>1</v>
      </c>
      <c r="D3" s="29">
        <v>1</v>
      </c>
      <c r="E3" s="30">
        <v>2</v>
      </c>
      <c r="F3" s="31">
        <v>2</v>
      </c>
      <c r="G3" s="32">
        <v>2</v>
      </c>
      <c r="H3" s="30">
        <v>3</v>
      </c>
      <c r="I3" s="31">
        <v>3</v>
      </c>
      <c r="J3" s="32">
        <v>3</v>
      </c>
      <c r="K3" s="30">
        <v>4</v>
      </c>
      <c r="L3" s="31">
        <v>4</v>
      </c>
      <c r="M3" s="32">
        <v>4</v>
      </c>
      <c r="N3" s="30">
        <v>5</v>
      </c>
      <c r="O3" s="31">
        <v>5</v>
      </c>
      <c r="P3" s="32">
        <v>5</v>
      </c>
    </row>
    <row r="4" spans="1:16" ht="20" customHeight="1" x14ac:dyDescent="0.15">
      <c r="A4" s="20" t="s">
        <v>29</v>
      </c>
      <c r="B4" s="27">
        <v>1</v>
      </c>
      <c r="C4" s="28">
        <v>1</v>
      </c>
      <c r="D4" s="29">
        <v>1</v>
      </c>
      <c r="E4" s="30">
        <v>2</v>
      </c>
      <c r="F4" s="31">
        <v>2</v>
      </c>
      <c r="G4" s="32">
        <v>2</v>
      </c>
      <c r="H4" s="30">
        <v>3</v>
      </c>
      <c r="I4" s="31">
        <v>3</v>
      </c>
      <c r="J4" s="32">
        <v>3</v>
      </c>
      <c r="K4" s="30">
        <v>4</v>
      </c>
      <c r="L4" s="31">
        <v>4</v>
      </c>
      <c r="M4" s="32">
        <v>4</v>
      </c>
      <c r="N4" s="30">
        <v>5</v>
      </c>
      <c r="O4" s="31">
        <v>5</v>
      </c>
      <c r="P4" s="32">
        <v>5</v>
      </c>
    </row>
    <row r="5" spans="1:16" ht="20" customHeight="1" x14ac:dyDescent="0.15">
      <c r="A5" s="20" t="s">
        <v>30</v>
      </c>
      <c r="B5" s="27">
        <v>1</v>
      </c>
      <c r="C5" s="28">
        <v>1</v>
      </c>
      <c r="D5" s="29">
        <v>1</v>
      </c>
      <c r="E5" s="30">
        <v>2</v>
      </c>
      <c r="F5" s="31">
        <v>2</v>
      </c>
      <c r="G5" s="32">
        <v>2</v>
      </c>
      <c r="H5" s="30">
        <v>3</v>
      </c>
      <c r="I5" s="31">
        <v>3</v>
      </c>
      <c r="J5" s="32">
        <v>3</v>
      </c>
      <c r="K5" s="30">
        <v>4</v>
      </c>
      <c r="L5" s="31">
        <v>4</v>
      </c>
      <c r="M5" s="32">
        <v>4</v>
      </c>
      <c r="N5" s="30">
        <v>5</v>
      </c>
      <c r="O5" s="31">
        <v>5</v>
      </c>
      <c r="P5" s="32">
        <v>5</v>
      </c>
    </row>
    <row r="6" spans="1:16" ht="20" customHeight="1" x14ac:dyDescent="0.15">
      <c r="A6" s="20" t="s">
        <v>31</v>
      </c>
      <c r="B6" s="27">
        <v>1</v>
      </c>
      <c r="C6" s="28">
        <v>1</v>
      </c>
      <c r="D6" s="29">
        <v>1</v>
      </c>
      <c r="E6" s="30">
        <v>2</v>
      </c>
      <c r="F6" s="31">
        <v>2</v>
      </c>
      <c r="G6" s="32">
        <v>2</v>
      </c>
      <c r="H6" s="30">
        <v>3</v>
      </c>
      <c r="I6" s="31">
        <v>3</v>
      </c>
      <c r="J6" s="32">
        <v>3</v>
      </c>
      <c r="K6" s="30">
        <v>4</v>
      </c>
      <c r="L6" s="31">
        <v>4</v>
      </c>
      <c r="M6" s="32">
        <v>4</v>
      </c>
      <c r="N6" s="30">
        <v>5</v>
      </c>
      <c r="O6" s="31">
        <v>5</v>
      </c>
      <c r="P6" s="32">
        <v>5</v>
      </c>
    </row>
    <row r="7" spans="1:16" ht="20" customHeight="1" x14ac:dyDescent="0.15">
      <c r="A7" s="20" t="s">
        <v>32</v>
      </c>
      <c r="B7" s="27">
        <v>1</v>
      </c>
      <c r="C7" s="28">
        <v>1</v>
      </c>
      <c r="D7" s="29">
        <v>1</v>
      </c>
      <c r="E7" s="30">
        <v>2</v>
      </c>
      <c r="F7" s="31">
        <v>2</v>
      </c>
      <c r="G7" s="32">
        <v>2</v>
      </c>
      <c r="H7" s="30">
        <v>3</v>
      </c>
      <c r="I7" s="31">
        <v>3</v>
      </c>
      <c r="J7" s="32">
        <v>3</v>
      </c>
      <c r="K7" s="30">
        <v>4</v>
      </c>
      <c r="L7" s="31">
        <v>4</v>
      </c>
      <c r="M7" s="32">
        <v>4</v>
      </c>
      <c r="N7" s="30">
        <v>5</v>
      </c>
      <c r="O7" s="31">
        <v>5</v>
      </c>
      <c r="P7" s="32">
        <v>5</v>
      </c>
    </row>
    <row r="8" spans="1:16" ht="20" customHeight="1" x14ac:dyDescent="0.15">
      <c r="A8" s="20" t="s">
        <v>33</v>
      </c>
      <c r="B8" s="27">
        <v>1</v>
      </c>
      <c r="C8" s="28">
        <v>1</v>
      </c>
      <c r="D8" s="29">
        <v>1</v>
      </c>
      <c r="E8" s="30">
        <v>2</v>
      </c>
      <c r="F8" s="31">
        <v>2</v>
      </c>
      <c r="G8" s="32">
        <v>2</v>
      </c>
      <c r="H8" s="30">
        <v>3</v>
      </c>
      <c r="I8" s="31">
        <v>3</v>
      </c>
      <c r="J8" s="32">
        <v>3</v>
      </c>
      <c r="K8" s="30">
        <v>4</v>
      </c>
      <c r="L8" s="31">
        <v>4</v>
      </c>
      <c r="M8" s="32">
        <v>4</v>
      </c>
      <c r="N8" s="30">
        <v>5</v>
      </c>
      <c r="O8" s="31">
        <v>5</v>
      </c>
      <c r="P8" s="32">
        <v>5</v>
      </c>
    </row>
    <row r="9" spans="1:16" ht="20" customHeight="1" x14ac:dyDescent="0.15">
      <c r="A9" s="20" t="s">
        <v>34</v>
      </c>
      <c r="B9" s="27">
        <v>1</v>
      </c>
      <c r="C9" s="28">
        <v>1</v>
      </c>
      <c r="D9" s="29">
        <v>1</v>
      </c>
      <c r="E9" s="30">
        <v>2</v>
      </c>
      <c r="F9" s="31">
        <v>2</v>
      </c>
      <c r="G9" s="32">
        <v>2</v>
      </c>
      <c r="H9" s="30">
        <v>3</v>
      </c>
      <c r="I9" s="31">
        <v>3</v>
      </c>
      <c r="J9" s="32">
        <v>3</v>
      </c>
      <c r="K9" s="30">
        <v>4</v>
      </c>
      <c r="L9" s="31">
        <v>4</v>
      </c>
      <c r="M9" s="32">
        <v>4</v>
      </c>
      <c r="N9" s="30">
        <v>5</v>
      </c>
      <c r="O9" s="31">
        <v>5</v>
      </c>
      <c r="P9" s="32">
        <v>5</v>
      </c>
    </row>
    <row r="10" spans="1:16" ht="20" customHeight="1" x14ac:dyDescent="0.15">
      <c r="A10" s="20" t="s">
        <v>35</v>
      </c>
      <c r="B10" s="27">
        <v>1</v>
      </c>
      <c r="C10" s="28">
        <v>1</v>
      </c>
      <c r="D10" s="29">
        <v>1</v>
      </c>
      <c r="E10" s="30">
        <v>2</v>
      </c>
      <c r="F10" s="31">
        <v>2</v>
      </c>
      <c r="G10" s="32">
        <v>2</v>
      </c>
      <c r="H10" s="30">
        <v>3</v>
      </c>
      <c r="I10" s="31">
        <v>3</v>
      </c>
      <c r="J10" s="32">
        <v>3</v>
      </c>
      <c r="K10" s="30">
        <v>4</v>
      </c>
      <c r="L10" s="31">
        <v>4</v>
      </c>
      <c r="M10" s="32">
        <v>4</v>
      </c>
      <c r="N10" s="30">
        <v>5</v>
      </c>
      <c r="O10" s="31">
        <v>5</v>
      </c>
      <c r="P10" s="32">
        <v>5</v>
      </c>
    </row>
    <row r="11" spans="1:16" ht="20" customHeight="1" x14ac:dyDescent="0.15">
      <c r="A11" s="20" t="s">
        <v>36</v>
      </c>
      <c r="B11" s="27">
        <v>1</v>
      </c>
      <c r="C11" s="28">
        <v>1</v>
      </c>
      <c r="D11" s="29">
        <v>1</v>
      </c>
      <c r="E11" s="30">
        <v>2</v>
      </c>
      <c r="F11" s="31">
        <v>2</v>
      </c>
      <c r="G11" s="32">
        <v>2</v>
      </c>
      <c r="H11" s="30">
        <v>3</v>
      </c>
      <c r="I11" s="31">
        <v>3</v>
      </c>
      <c r="J11" s="32">
        <v>3</v>
      </c>
      <c r="K11" s="30">
        <v>4</v>
      </c>
      <c r="L11" s="31">
        <v>4</v>
      </c>
      <c r="M11" s="32">
        <v>4</v>
      </c>
      <c r="N11" s="30">
        <v>5</v>
      </c>
      <c r="O11" s="31">
        <v>5</v>
      </c>
      <c r="P11" s="32">
        <v>5</v>
      </c>
    </row>
    <row r="12" spans="1:16" ht="20" customHeight="1" x14ac:dyDescent="0.15">
      <c r="A12" s="20" t="s">
        <v>37</v>
      </c>
      <c r="B12" s="27">
        <v>1</v>
      </c>
      <c r="C12" s="28">
        <v>1</v>
      </c>
      <c r="D12" s="29">
        <v>1</v>
      </c>
      <c r="E12" s="30">
        <v>2</v>
      </c>
      <c r="F12" s="31">
        <v>2</v>
      </c>
      <c r="G12" s="32">
        <v>2</v>
      </c>
      <c r="H12" s="30">
        <v>3</v>
      </c>
      <c r="I12" s="31">
        <v>3</v>
      </c>
      <c r="J12" s="32">
        <v>3</v>
      </c>
      <c r="K12" s="30">
        <v>4</v>
      </c>
      <c r="L12" s="31">
        <v>4</v>
      </c>
      <c r="M12" s="32">
        <v>4</v>
      </c>
      <c r="N12" s="30">
        <v>5</v>
      </c>
      <c r="O12" s="31">
        <v>5</v>
      </c>
      <c r="P12" s="32">
        <v>5</v>
      </c>
    </row>
    <row r="13" spans="1:16" ht="20" customHeight="1" x14ac:dyDescent="0.15">
      <c r="A13" s="20" t="s">
        <v>38</v>
      </c>
      <c r="B13" s="27">
        <v>1</v>
      </c>
      <c r="C13" s="28">
        <v>1</v>
      </c>
      <c r="D13" s="29">
        <v>1</v>
      </c>
      <c r="E13" s="30">
        <v>2</v>
      </c>
      <c r="F13" s="31">
        <v>2</v>
      </c>
      <c r="G13" s="32">
        <v>2</v>
      </c>
      <c r="H13" s="30">
        <v>3</v>
      </c>
      <c r="I13" s="31">
        <v>3</v>
      </c>
      <c r="J13" s="32">
        <v>3</v>
      </c>
      <c r="K13" s="30">
        <v>4</v>
      </c>
      <c r="L13" s="31">
        <v>4</v>
      </c>
      <c r="M13" s="32">
        <v>4</v>
      </c>
      <c r="N13" s="30">
        <v>5</v>
      </c>
      <c r="O13" s="31">
        <v>5</v>
      </c>
      <c r="P13" s="32">
        <v>5</v>
      </c>
    </row>
    <row r="14" spans="1:16" ht="20" customHeight="1" x14ac:dyDescent="0.15">
      <c r="A14" s="20" t="s">
        <v>39</v>
      </c>
      <c r="B14" s="27">
        <v>1</v>
      </c>
      <c r="C14" s="28">
        <v>1</v>
      </c>
      <c r="D14" s="29">
        <v>1</v>
      </c>
      <c r="E14" s="30">
        <v>2</v>
      </c>
      <c r="F14" s="31">
        <v>2</v>
      </c>
      <c r="G14" s="32">
        <v>2</v>
      </c>
      <c r="H14" s="30">
        <v>3</v>
      </c>
      <c r="I14" s="31">
        <v>3</v>
      </c>
      <c r="J14" s="32">
        <v>3</v>
      </c>
      <c r="K14" s="30">
        <v>4</v>
      </c>
      <c r="L14" s="31">
        <v>4</v>
      </c>
      <c r="M14" s="32">
        <v>4</v>
      </c>
      <c r="N14" s="30">
        <v>5</v>
      </c>
      <c r="O14" s="31">
        <v>5</v>
      </c>
      <c r="P14" s="32">
        <v>5</v>
      </c>
    </row>
    <row r="15" spans="1:16" ht="20" customHeight="1" x14ac:dyDescent="0.15">
      <c r="A15" s="20" t="s">
        <v>40</v>
      </c>
      <c r="B15" s="27">
        <v>1</v>
      </c>
      <c r="C15" s="28">
        <v>1</v>
      </c>
      <c r="D15" s="29">
        <v>1</v>
      </c>
      <c r="E15" s="30">
        <v>2</v>
      </c>
      <c r="F15" s="31">
        <v>2</v>
      </c>
      <c r="G15" s="32">
        <v>2</v>
      </c>
      <c r="H15" s="30">
        <v>3</v>
      </c>
      <c r="I15" s="31">
        <v>3</v>
      </c>
      <c r="J15" s="32">
        <v>3</v>
      </c>
      <c r="K15" s="30">
        <v>4</v>
      </c>
      <c r="L15" s="31">
        <v>4</v>
      </c>
      <c r="M15" s="32">
        <v>4</v>
      </c>
      <c r="N15" s="30">
        <v>5</v>
      </c>
      <c r="O15" s="31">
        <v>5</v>
      </c>
      <c r="P15" s="32">
        <v>5</v>
      </c>
    </row>
    <row r="16" spans="1:16" ht="20" customHeight="1" x14ac:dyDescent="0.15">
      <c r="A16" s="20" t="s">
        <v>41</v>
      </c>
      <c r="B16" s="27">
        <v>1</v>
      </c>
      <c r="C16" s="28">
        <v>1</v>
      </c>
      <c r="D16" s="29">
        <v>1</v>
      </c>
      <c r="E16" s="30">
        <v>2</v>
      </c>
      <c r="F16" s="31">
        <v>2</v>
      </c>
      <c r="G16" s="32">
        <v>2</v>
      </c>
      <c r="H16" s="30">
        <v>3</v>
      </c>
      <c r="I16" s="31">
        <v>3</v>
      </c>
      <c r="J16" s="32">
        <v>3</v>
      </c>
      <c r="K16" s="30">
        <v>4</v>
      </c>
      <c r="L16" s="31">
        <v>4</v>
      </c>
      <c r="M16" s="32">
        <v>4</v>
      </c>
      <c r="N16" s="30">
        <v>5</v>
      </c>
      <c r="O16" s="31">
        <v>5</v>
      </c>
      <c r="P16" s="32">
        <v>5</v>
      </c>
    </row>
    <row r="17" spans="1:16" ht="20" customHeight="1" x14ac:dyDescent="0.15">
      <c r="A17" s="20" t="s">
        <v>42</v>
      </c>
      <c r="B17" s="27">
        <v>1</v>
      </c>
      <c r="C17" s="28">
        <v>1</v>
      </c>
      <c r="D17" s="29">
        <v>1</v>
      </c>
      <c r="E17" s="30">
        <v>2</v>
      </c>
      <c r="F17" s="31">
        <v>2</v>
      </c>
      <c r="G17" s="32">
        <v>2</v>
      </c>
      <c r="H17" s="30">
        <v>3</v>
      </c>
      <c r="I17" s="31">
        <v>3</v>
      </c>
      <c r="J17" s="32">
        <v>3</v>
      </c>
      <c r="K17" s="30">
        <v>4</v>
      </c>
      <c r="L17" s="31">
        <v>4</v>
      </c>
      <c r="M17" s="32">
        <v>4</v>
      </c>
      <c r="N17" s="30">
        <v>5</v>
      </c>
      <c r="O17" s="31">
        <v>5</v>
      </c>
      <c r="P17" s="32">
        <v>5</v>
      </c>
    </row>
    <row r="18" spans="1:16" ht="20" customHeight="1" x14ac:dyDescent="0.15">
      <c r="A18" s="20" t="s">
        <v>43</v>
      </c>
      <c r="B18" s="27">
        <v>1</v>
      </c>
      <c r="C18" s="28">
        <v>1</v>
      </c>
      <c r="D18" s="29">
        <v>1</v>
      </c>
      <c r="E18" s="30">
        <v>2</v>
      </c>
      <c r="F18" s="31">
        <v>2</v>
      </c>
      <c r="G18" s="32">
        <v>2</v>
      </c>
      <c r="H18" s="30">
        <v>3</v>
      </c>
      <c r="I18" s="31">
        <v>3</v>
      </c>
      <c r="J18" s="32">
        <v>3</v>
      </c>
      <c r="K18" s="30">
        <v>4</v>
      </c>
      <c r="L18" s="31">
        <v>4</v>
      </c>
      <c r="M18" s="32">
        <v>4</v>
      </c>
      <c r="N18" s="30">
        <v>5</v>
      </c>
      <c r="O18" s="31">
        <v>5</v>
      </c>
      <c r="P18" s="32">
        <v>5</v>
      </c>
    </row>
    <row r="19" spans="1:16" ht="20" customHeight="1" x14ac:dyDescent="0.15">
      <c r="A19" s="20" t="s">
        <v>44</v>
      </c>
      <c r="B19" s="27">
        <v>1</v>
      </c>
      <c r="C19" s="28">
        <v>1</v>
      </c>
      <c r="D19" s="29">
        <v>1</v>
      </c>
      <c r="E19" s="30">
        <v>2</v>
      </c>
      <c r="F19" s="31">
        <v>2</v>
      </c>
      <c r="G19" s="32">
        <v>2</v>
      </c>
      <c r="H19" s="30">
        <v>3</v>
      </c>
      <c r="I19" s="31">
        <v>3</v>
      </c>
      <c r="J19" s="32">
        <v>3</v>
      </c>
      <c r="K19" s="30">
        <v>4</v>
      </c>
      <c r="L19" s="31">
        <v>4</v>
      </c>
      <c r="M19" s="32">
        <v>4</v>
      </c>
      <c r="N19" s="30">
        <v>5</v>
      </c>
      <c r="O19" s="31">
        <v>5</v>
      </c>
      <c r="P19" s="32">
        <v>5</v>
      </c>
    </row>
    <row r="20" spans="1:16" ht="20" customHeight="1" x14ac:dyDescent="0.15">
      <c r="A20" s="20" t="s">
        <v>45</v>
      </c>
      <c r="B20" s="27">
        <v>1</v>
      </c>
      <c r="C20" s="28">
        <v>1</v>
      </c>
      <c r="D20" s="29">
        <v>1</v>
      </c>
      <c r="E20" s="30">
        <v>2</v>
      </c>
      <c r="F20" s="31">
        <v>2</v>
      </c>
      <c r="G20" s="32">
        <v>2</v>
      </c>
      <c r="H20" s="30">
        <v>3</v>
      </c>
      <c r="I20" s="31">
        <v>3</v>
      </c>
      <c r="J20" s="32">
        <v>3</v>
      </c>
      <c r="K20" s="30">
        <v>4</v>
      </c>
      <c r="L20" s="31">
        <v>4</v>
      </c>
      <c r="M20" s="32">
        <v>4</v>
      </c>
      <c r="N20" s="30">
        <v>5</v>
      </c>
      <c r="O20" s="31">
        <v>5</v>
      </c>
      <c r="P20" s="32">
        <v>5</v>
      </c>
    </row>
    <row r="21" spans="1:16" ht="20" customHeight="1" x14ac:dyDescent="0.15">
      <c r="A21" s="20" t="s">
        <v>46</v>
      </c>
      <c r="B21" s="27">
        <v>1</v>
      </c>
      <c r="C21" s="28">
        <v>1</v>
      </c>
      <c r="D21" s="29">
        <v>1</v>
      </c>
      <c r="E21" s="30">
        <v>2</v>
      </c>
      <c r="F21" s="31">
        <v>2</v>
      </c>
      <c r="G21" s="32">
        <v>2</v>
      </c>
      <c r="H21" s="30">
        <v>3</v>
      </c>
      <c r="I21" s="31">
        <v>3</v>
      </c>
      <c r="J21" s="32">
        <v>3</v>
      </c>
      <c r="K21" s="30">
        <v>4</v>
      </c>
      <c r="L21" s="31">
        <v>4</v>
      </c>
      <c r="M21" s="32">
        <v>4</v>
      </c>
      <c r="N21" s="30">
        <v>5</v>
      </c>
      <c r="O21" s="31">
        <v>5</v>
      </c>
      <c r="P21" s="32">
        <v>5</v>
      </c>
    </row>
    <row r="22" spans="1:16" ht="20" customHeight="1" x14ac:dyDescent="0.15">
      <c r="A22" s="20" t="s">
        <v>47</v>
      </c>
      <c r="B22" s="27">
        <v>1</v>
      </c>
      <c r="C22" s="28">
        <v>1</v>
      </c>
      <c r="D22" s="29">
        <v>1</v>
      </c>
      <c r="E22" s="30">
        <v>2</v>
      </c>
      <c r="F22" s="31">
        <v>2</v>
      </c>
      <c r="G22" s="32">
        <v>2</v>
      </c>
      <c r="H22" s="30">
        <v>3</v>
      </c>
      <c r="I22" s="31">
        <v>3</v>
      </c>
      <c r="J22" s="32">
        <v>3</v>
      </c>
      <c r="K22" s="30">
        <v>4</v>
      </c>
      <c r="L22" s="31">
        <v>4</v>
      </c>
      <c r="M22" s="32">
        <v>4</v>
      </c>
      <c r="N22" s="30">
        <v>5</v>
      </c>
      <c r="O22" s="31">
        <v>5</v>
      </c>
      <c r="P22" s="32">
        <v>5</v>
      </c>
    </row>
    <row r="23" spans="1:16" ht="20" customHeight="1" x14ac:dyDescent="0.15">
      <c r="A23" s="20" t="s">
        <v>48</v>
      </c>
      <c r="B23" s="27">
        <v>1</v>
      </c>
      <c r="C23" s="28">
        <v>1</v>
      </c>
      <c r="D23" s="29">
        <v>1</v>
      </c>
      <c r="E23" s="30">
        <v>2</v>
      </c>
      <c r="F23" s="31">
        <v>2</v>
      </c>
      <c r="G23" s="32">
        <v>2</v>
      </c>
      <c r="H23" s="30">
        <v>3</v>
      </c>
      <c r="I23" s="31">
        <v>3</v>
      </c>
      <c r="J23" s="32">
        <v>3</v>
      </c>
      <c r="K23" s="30">
        <v>4</v>
      </c>
      <c r="L23" s="31">
        <v>4</v>
      </c>
      <c r="M23" s="32">
        <v>4</v>
      </c>
      <c r="N23" s="30">
        <v>5</v>
      </c>
      <c r="O23" s="31">
        <v>5</v>
      </c>
      <c r="P23" s="32">
        <v>5</v>
      </c>
    </row>
    <row r="24" spans="1:16" ht="20" customHeight="1" x14ac:dyDescent="0.15">
      <c r="A24" s="20" t="s">
        <v>49</v>
      </c>
      <c r="B24" s="27">
        <v>1</v>
      </c>
      <c r="C24" s="28">
        <v>1</v>
      </c>
      <c r="D24" s="29">
        <v>1</v>
      </c>
      <c r="E24" s="30">
        <v>2</v>
      </c>
      <c r="F24" s="31">
        <v>2</v>
      </c>
      <c r="G24" s="32">
        <v>2</v>
      </c>
      <c r="H24" s="30">
        <v>3</v>
      </c>
      <c r="I24" s="31">
        <v>3</v>
      </c>
      <c r="J24" s="32">
        <v>3</v>
      </c>
      <c r="K24" s="30">
        <v>4</v>
      </c>
      <c r="L24" s="31">
        <v>4</v>
      </c>
      <c r="M24" s="32">
        <v>4</v>
      </c>
      <c r="N24" s="30">
        <v>5</v>
      </c>
      <c r="O24" s="31">
        <v>5</v>
      </c>
      <c r="P24" s="32">
        <v>5</v>
      </c>
    </row>
    <row r="25" spans="1:16" ht="20" customHeight="1" x14ac:dyDescent="0.15">
      <c r="A25" s="20" t="s">
        <v>50</v>
      </c>
      <c r="B25" s="27">
        <v>1</v>
      </c>
      <c r="C25" s="28">
        <v>1</v>
      </c>
      <c r="D25" s="29">
        <v>1</v>
      </c>
      <c r="E25" s="30">
        <v>2</v>
      </c>
      <c r="F25" s="31">
        <v>2</v>
      </c>
      <c r="G25" s="32">
        <v>2</v>
      </c>
      <c r="H25" s="30">
        <v>3</v>
      </c>
      <c r="I25" s="31">
        <v>3</v>
      </c>
      <c r="J25" s="32">
        <v>3</v>
      </c>
      <c r="K25" s="30">
        <v>4</v>
      </c>
      <c r="L25" s="31">
        <v>4</v>
      </c>
      <c r="M25" s="32">
        <v>4</v>
      </c>
      <c r="N25" s="30">
        <v>5</v>
      </c>
      <c r="O25" s="31">
        <v>5</v>
      </c>
      <c r="P25" s="32">
        <v>5</v>
      </c>
    </row>
    <row r="26" spans="1:16" ht="20" customHeight="1" x14ac:dyDescent="0.15">
      <c r="A26" s="20" t="s">
        <v>51</v>
      </c>
      <c r="B26" s="27">
        <v>1</v>
      </c>
      <c r="C26" s="28">
        <v>1</v>
      </c>
      <c r="D26" s="29">
        <v>1</v>
      </c>
      <c r="E26" s="30">
        <v>2</v>
      </c>
      <c r="F26" s="31">
        <v>2</v>
      </c>
      <c r="G26" s="32">
        <v>2</v>
      </c>
      <c r="H26" s="30">
        <v>3</v>
      </c>
      <c r="I26" s="31">
        <v>3</v>
      </c>
      <c r="J26" s="32">
        <v>3</v>
      </c>
      <c r="K26" s="30">
        <v>4</v>
      </c>
      <c r="L26" s="31">
        <v>4</v>
      </c>
      <c r="M26" s="32">
        <v>4</v>
      </c>
      <c r="N26" s="30">
        <v>5</v>
      </c>
      <c r="O26" s="31">
        <v>5</v>
      </c>
      <c r="P26" s="32">
        <v>5</v>
      </c>
    </row>
    <row r="27" spans="1:16" ht="20" customHeight="1" x14ac:dyDescent="0.15">
      <c r="A27" s="20" t="s">
        <v>52</v>
      </c>
      <c r="B27" s="27">
        <v>1</v>
      </c>
      <c r="C27" s="28">
        <v>1</v>
      </c>
      <c r="D27" s="29">
        <v>1</v>
      </c>
      <c r="E27" s="30">
        <v>2</v>
      </c>
      <c r="F27" s="31">
        <v>2</v>
      </c>
      <c r="G27" s="32">
        <v>2</v>
      </c>
      <c r="H27" s="30">
        <v>3</v>
      </c>
      <c r="I27" s="31">
        <v>3</v>
      </c>
      <c r="J27" s="32">
        <v>3</v>
      </c>
      <c r="K27" s="30">
        <v>4</v>
      </c>
      <c r="L27" s="31">
        <v>4</v>
      </c>
      <c r="M27" s="32">
        <v>4</v>
      </c>
      <c r="N27" s="30">
        <v>5</v>
      </c>
      <c r="O27" s="31">
        <v>5</v>
      </c>
      <c r="P27" s="32">
        <v>5</v>
      </c>
    </row>
    <row r="28" spans="1:16" ht="20" customHeight="1" x14ac:dyDescent="0.15">
      <c r="A28" s="20" t="s">
        <v>53</v>
      </c>
      <c r="B28" s="27">
        <v>1</v>
      </c>
      <c r="C28" s="28">
        <v>1</v>
      </c>
      <c r="D28" s="29">
        <v>1</v>
      </c>
      <c r="E28" s="30">
        <v>2</v>
      </c>
      <c r="F28" s="31">
        <v>2</v>
      </c>
      <c r="G28" s="32">
        <v>2</v>
      </c>
      <c r="H28" s="30">
        <v>3</v>
      </c>
      <c r="I28" s="31">
        <v>3</v>
      </c>
      <c r="J28" s="32">
        <v>3</v>
      </c>
      <c r="K28" s="30">
        <v>4</v>
      </c>
      <c r="L28" s="31">
        <v>4</v>
      </c>
      <c r="M28" s="32">
        <v>4</v>
      </c>
      <c r="N28" s="30">
        <v>5</v>
      </c>
      <c r="O28" s="31">
        <v>5</v>
      </c>
      <c r="P28" s="32">
        <v>5</v>
      </c>
    </row>
    <row r="29" spans="1:16" ht="20" customHeight="1" x14ac:dyDescent="0.15">
      <c r="A29" s="20" t="s">
        <v>54</v>
      </c>
      <c r="B29" s="27">
        <v>1</v>
      </c>
      <c r="C29" s="28">
        <v>1</v>
      </c>
      <c r="D29" s="29">
        <v>1</v>
      </c>
      <c r="E29" s="30">
        <v>2</v>
      </c>
      <c r="F29" s="31">
        <v>2</v>
      </c>
      <c r="G29" s="32">
        <v>2</v>
      </c>
      <c r="H29" s="30">
        <v>3</v>
      </c>
      <c r="I29" s="31">
        <v>3</v>
      </c>
      <c r="J29" s="32">
        <v>3</v>
      </c>
      <c r="K29" s="30">
        <v>4</v>
      </c>
      <c r="L29" s="31">
        <v>4</v>
      </c>
      <c r="M29" s="32">
        <v>4</v>
      </c>
      <c r="N29" s="30">
        <v>5</v>
      </c>
      <c r="O29" s="31">
        <v>5</v>
      </c>
      <c r="P29" s="32">
        <v>5</v>
      </c>
    </row>
    <row r="30" spans="1:16" ht="20" customHeight="1" x14ac:dyDescent="0.15">
      <c r="A30" s="20" t="s">
        <v>55</v>
      </c>
      <c r="B30" s="27">
        <v>1</v>
      </c>
      <c r="C30" s="28">
        <v>1</v>
      </c>
      <c r="D30" s="29">
        <v>1</v>
      </c>
      <c r="E30" s="30">
        <v>2</v>
      </c>
      <c r="F30" s="31">
        <v>2</v>
      </c>
      <c r="G30" s="32">
        <v>2</v>
      </c>
      <c r="H30" s="30">
        <v>3</v>
      </c>
      <c r="I30" s="31">
        <v>3</v>
      </c>
      <c r="J30" s="32">
        <v>3</v>
      </c>
      <c r="K30" s="30">
        <v>4</v>
      </c>
      <c r="L30" s="31">
        <v>4</v>
      </c>
      <c r="M30" s="32">
        <v>4</v>
      </c>
      <c r="N30" s="30">
        <v>5</v>
      </c>
      <c r="O30" s="31">
        <v>5</v>
      </c>
      <c r="P30" s="32">
        <v>5</v>
      </c>
    </row>
    <row r="31" spans="1:16" ht="20" customHeight="1" x14ac:dyDescent="0.15">
      <c r="A31" s="20" t="s">
        <v>56</v>
      </c>
      <c r="B31" s="27">
        <v>1</v>
      </c>
      <c r="C31" s="28">
        <v>1</v>
      </c>
      <c r="D31" s="29">
        <v>1</v>
      </c>
      <c r="E31" s="30">
        <v>2</v>
      </c>
      <c r="F31" s="31">
        <v>2</v>
      </c>
      <c r="G31" s="32">
        <v>2</v>
      </c>
      <c r="H31" s="30">
        <v>3</v>
      </c>
      <c r="I31" s="31">
        <v>3</v>
      </c>
      <c r="J31" s="32">
        <v>3</v>
      </c>
      <c r="K31" s="30">
        <v>4</v>
      </c>
      <c r="L31" s="31">
        <v>4</v>
      </c>
      <c r="M31" s="32">
        <v>4</v>
      </c>
      <c r="N31" s="30">
        <v>5</v>
      </c>
      <c r="O31" s="31">
        <v>5</v>
      </c>
      <c r="P31" s="32">
        <v>5</v>
      </c>
    </row>
    <row r="32" spans="1:16" ht="20" customHeight="1" x14ac:dyDescent="0.15">
      <c r="A32" s="20" t="s">
        <v>57</v>
      </c>
      <c r="B32" s="27">
        <v>1</v>
      </c>
      <c r="C32" s="28">
        <v>1</v>
      </c>
      <c r="D32" s="29">
        <v>1</v>
      </c>
      <c r="E32" s="30">
        <v>2</v>
      </c>
      <c r="F32" s="31">
        <v>2</v>
      </c>
      <c r="G32" s="32">
        <v>2</v>
      </c>
      <c r="H32" s="30">
        <v>3</v>
      </c>
      <c r="I32" s="31">
        <v>3</v>
      </c>
      <c r="J32" s="32">
        <v>3</v>
      </c>
      <c r="K32" s="30">
        <v>4</v>
      </c>
      <c r="L32" s="31">
        <v>4</v>
      </c>
      <c r="M32" s="32">
        <v>4</v>
      </c>
      <c r="N32" s="30">
        <v>5</v>
      </c>
      <c r="O32" s="31">
        <v>5</v>
      </c>
      <c r="P32" s="32">
        <v>5</v>
      </c>
    </row>
    <row r="33" spans="1:16" ht="20" customHeight="1" x14ac:dyDescent="0.15">
      <c r="A33" s="20" t="s">
        <v>58</v>
      </c>
      <c r="B33" s="27">
        <v>1</v>
      </c>
      <c r="C33" s="28">
        <v>1</v>
      </c>
      <c r="D33" s="29">
        <v>1</v>
      </c>
      <c r="E33" s="30">
        <v>2</v>
      </c>
      <c r="F33" s="31">
        <v>2</v>
      </c>
      <c r="G33" s="32">
        <v>2</v>
      </c>
      <c r="H33" s="30">
        <v>3</v>
      </c>
      <c r="I33" s="31">
        <v>3</v>
      </c>
      <c r="J33" s="32">
        <v>3</v>
      </c>
      <c r="K33" s="30">
        <v>4</v>
      </c>
      <c r="L33" s="31">
        <v>4</v>
      </c>
      <c r="M33" s="32">
        <v>4</v>
      </c>
      <c r="N33" s="30">
        <v>5</v>
      </c>
      <c r="O33" s="31">
        <v>5</v>
      </c>
      <c r="P33" s="32">
        <v>5</v>
      </c>
    </row>
    <row r="34" spans="1:16" ht="20" customHeight="1" x14ac:dyDescent="0.15">
      <c r="A34" s="20" t="s">
        <v>59</v>
      </c>
      <c r="B34" s="27">
        <v>1</v>
      </c>
      <c r="C34" s="28">
        <v>1</v>
      </c>
      <c r="D34" s="29">
        <v>1</v>
      </c>
      <c r="E34" s="30">
        <v>2</v>
      </c>
      <c r="F34" s="31">
        <v>2</v>
      </c>
      <c r="G34" s="32">
        <v>2</v>
      </c>
      <c r="H34" s="30">
        <v>3</v>
      </c>
      <c r="I34" s="31">
        <v>3</v>
      </c>
      <c r="J34" s="32">
        <v>3</v>
      </c>
      <c r="K34" s="30">
        <v>4</v>
      </c>
      <c r="L34" s="31">
        <v>4</v>
      </c>
      <c r="M34" s="32">
        <v>4</v>
      </c>
      <c r="N34" s="30">
        <v>5</v>
      </c>
      <c r="O34" s="31">
        <v>5</v>
      </c>
      <c r="P34" s="32">
        <v>5</v>
      </c>
    </row>
    <row r="35" spans="1:16" ht="20" customHeight="1" thickBot="1" x14ac:dyDescent="0.2">
      <c r="A35" s="20" t="s">
        <v>60</v>
      </c>
      <c r="B35" s="33">
        <v>1</v>
      </c>
      <c r="C35" s="34">
        <v>1</v>
      </c>
      <c r="D35" s="35">
        <v>1</v>
      </c>
      <c r="E35" s="36">
        <v>2</v>
      </c>
      <c r="F35" s="37">
        <v>2</v>
      </c>
      <c r="G35" s="38">
        <v>2</v>
      </c>
      <c r="H35" s="36">
        <v>3</v>
      </c>
      <c r="I35" s="37">
        <v>3</v>
      </c>
      <c r="J35" s="38">
        <v>3</v>
      </c>
      <c r="K35" s="36">
        <v>4</v>
      </c>
      <c r="L35" s="37">
        <v>4</v>
      </c>
      <c r="M35" s="38">
        <v>4</v>
      </c>
      <c r="N35" s="36">
        <v>5</v>
      </c>
      <c r="O35" s="37">
        <v>5</v>
      </c>
      <c r="P35" s="38">
        <v>5</v>
      </c>
    </row>
  </sheetData>
  <mergeCells count="6">
    <mergeCell ref="N1:P1"/>
    <mergeCell ref="A1:A2"/>
    <mergeCell ref="B1:D1"/>
    <mergeCell ref="E1:G1"/>
    <mergeCell ref="H1:J1"/>
    <mergeCell ref="K1:M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57CF-5F1E-B845-AE14-F120ED170334}">
  <sheetPr>
    <pageSetUpPr fitToPage="1"/>
  </sheetPr>
  <dimension ref="A1:H35"/>
  <sheetViews>
    <sheetView showGridLines="0" tabSelected="1" workbookViewId="0">
      <selection activeCell="B16" sqref="B16"/>
    </sheetView>
  </sheetViews>
  <sheetFormatPr baseColWidth="10" defaultColWidth="8.33203125" defaultRowHeight="20" customHeight="1" x14ac:dyDescent="0.15"/>
  <cols>
    <col min="1" max="1" width="60.5" style="1" customWidth="1"/>
    <col min="2" max="2" width="19.6640625" style="1" customWidth="1"/>
    <col min="3" max="8" width="19.5" style="1" customWidth="1"/>
    <col min="9" max="9" width="8.33203125" style="1" customWidth="1"/>
    <col min="10" max="16384" width="8.33203125" style="1"/>
  </cols>
  <sheetData>
    <row r="1" spans="1:8" ht="27.75" customHeight="1" x14ac:dyDescent="0.15">
      <c r="A1" s="42" t="s">
        <v>20</v>
      </c>
      <c r="B1" s="42"/>
      <c r="C1" s="42"/>
      <c r="D1" s="42"/>
      <c r="E1" s="42"/>
      <c r="F1" s="42"/>
      <c r="G1" s="42"/>
      <c r="H1" s="42"/>
    </row>
    <row r="2" spans="1:8" ht="20.25" customHeight="1" x14ac:dyDescent="0.15">
      <c r="A2" s="2" t="s">
        <v>0</v>
      </c>
      <c r="B2" s="2" t="s">
        <v>21</v>
      </c>
      <c r="C2" s="25" t="s">
        <v>26</v>
      </c>
      <c r="D2" s="25" t="s">
        <v>23</v>
      </c>
      <c r="E2" s="25" t="s">
        <v>27</v>
      </c>
      <c r="F2" s="25" t="s">
        <v>22</v>
      </c>
      <c r="G2" s="25" t="s">
        <v>24</v>
      </c>
      <c r="H2" s="25" t="s">
        <v>25</v>
      </c>
    </row>
    <row r="3" spans="1:8" ht="20.25" customHeight="1" x14ac:dyDescent="0.15">
      <c r="A3" s="3" t="s">
        <v>28</v>
      </c>
      <c r="B3" s="24" t="b">
        <v>1</v>
      </c>
      <c r="C3" s="26">
        <f>0.25*Quantitativa!D3+0.15*Quantitativa!E3+0.1*Quantitativa!F3+0.25*Quantitativa!G3+0.25*Quantitativa!H3</f>
        <v>491.57749999999999</v>
      </c>
      <c r="D3" s="40">
        <f>C3/MAX($C$3:$C$35)</f>
        <v>0.11998145035070433</v>
      </c>
      <c r="E3" s="26">
        <f>(Qualitativa!B3+Qualitativa!C3+Qualitativa!D3+Qualitativa!E3+Qualitativa!F3)/5</f>
        <v>3</v>
      </c>
      <c r="F3" s="40">
        <f>E3/5</f>
        <v>0.6</v>
      </c>
      <c r="G3" s="26">
        <f>110*(0.5*D3+0.5*F3)</f>
        <v>39.598979769288732</v>
      </c>
      <c r="H3" s="39" cm="1">
        <f t="array" ref="H3">IF($B3=TRUE,1+SUMPRODUCT(($B$3:$B$35=TRUE)*($G$3:$G$35&gt;$G3)),"Indeferido")</f>
        <v>25</v>
      </c>
    </row>
    <row r="4" spans="1:8" ht="20" customHeight="1" x14ac:dyDescent="0.15">
      <c r="A4" s="8" t="s">
        <v>29</v>
      </c>
      <c r="B4" s="24" t="b">
        <v>1</v>
      </c>
      <c r="C4" s="26">
        <f>0.25*Quantitativa!D4+0.15*Quantitativa!E4+0.1*Quantitativa!F4+0.25*Quantitativa!G4+0.25*Quantitativa!H4</f>
        <v>1307.8125</v>
      </c>
      <c r="D4" s="40">
        <f t="shared" ref="D4:D35" si="0">C4/MAX($C$3:$C$35)</f>
        <v>0.31920346341478301</v>
      </c>
      <c r="E4" s="26">
        <f>(Qualitativa!B4+Qualitativa!C4+Qualitativa!D4+Qualitativa!E4+Qualitativa!F4)/5</f>
        <v>3</v>
      </c>
      <c r="F4" s="40">
        <f t="shared" ref="F4:F35" si="1">E4/5</f>
        <v>0.6</v>
      </c>
      <c r="G4" s="26">
        <f t="shared" ref="G4:G35" si="2">110*(0.5*D4+0.5*F4)</f>
        <v>50.556190487813062</v>
      </c>
      <c r="H4" s="39" cm="1">
        <f t="array" ref="H4">IF($B4=TRUE,1+SUMPRODUCT(($B$3:$B$35=TRUE)*($G$3:$G$35&gt;$G4)),"Indeferido")</f>
        <v>15</v>
      </c>
    </row>
    <row r="5" spans="1:8" ht="20" customHeight="1" x14ac:dyDescent="0.15">
      <c r="A5" s="8" t="s">
        <v>30</v>
      </c>
      <c r="B5" s="24" t="b">
        <v>1</v>
      </c>
      <c r="C5" s="26">
        <f>0.25*Quantitativa!D5+0.15*Quantitativa!E5+0.1*Quantitativa!F5+0.25*Quantitativa!G5+0.25*Quantitativa!H5</f>
        <v>1400.6000000000001</v>
      </c>
      <c r="D5" s="40">
        <f t="shared" si="0"/>
        <v>0.34185051057299509</v>
      </c>
      <c r="E5" s="26">
        <f>(Qualitativa!B5+Qualitativa!C5+Qualitativa!D5+Qualitativa!E5+Qualitativa!F5)/5</f>
        <v>3</v>
      </c>
      <c r="F5" s="40">
        <f t="shared" si="1"/>
        <v>0.6</v>
      </c>
      <c r="G5" s="26">
        <f t="shared" si="2"/>
        <v>51.801778081514726</v>
      </c>
      <c r="H5" s="39" cm="1">
        <f t="array" ref="H5">IF($B5=TRUE,1+SUMPRODUCT(($B$3:$B$35=TRUE)*($G$3:$G$35&gt;$G5)),"Indeferido")</f>
        <v>13</v>
      </c>
    </row>
    <row r="6" spans="1:8" ht="20" customHeight="1" x14ac:dyDescent="0.15">
      <c r="A6" s="8" t="s">
        <v>31</v>
      </c>
      <c r="B6" s="24" t="b">
        <v>1</v>
      </c>
      <c r="C6" s="26">
        <f>0.25*Quantitativa!D6+0.15*Quantitativa!E6+0.1*Quantitativa!F6+0.25*Quantitativa!G6+0.25*Quantitativa!H6</f>
        <v>1359.175</v>
      </c>
      <c r="D6" s="40">
        <f t="shared" si="0"/>
        <v>0.3317397313351782</v>
      </c>
      <c r="E6" s="26">
        <f>(Qualitativa!B6+Qualitativa!C6+Qualitativa!D6+Qualitativa!E6+Qualitativa!F6)/5</f>
        <v>3</v>
      </c>
      <c r="F6" s="40">
        <f t="shared" si="1"/>
        <v>0.6</v>
      </c>
      <c r="G6" s="26">
        <f t="shared" si="2"/>
        <v>51.245685223434798</v>
      </c>
      <c r="H6" s="39" cm="1">
        <f t="array" ref="H6">IF($B6=TRUE,1+SUMPRODUCT(($B$3:$B$35=TRUE)*($G$3:$G$35&gt;$G6)),"Indeferido")</f>
        <v>14</v>
      </c>
    </row>
    <row r="7" spans="1:8" ht="20" customHeight="1" x14ac:dyDescent="0.15">
      <c r="A7" s="8" t="s">
        <v>32</v>
      </c>
      <c r="B7" s="24" t="b">
        <v>1</v>
      </c>
      <c r="C7" s="26">
        <f>0.25*Quantitativa!D7+0.15*Quantitativa!E7+0.1*Quantitativa!F7+0.25*Quantitativa!G7+0.25*Quantitativa!H7</f>
        <v>954.6</v>
      </c>
      <c r="D7" s="40">
        <f t="shared" si="0"/>
        <v>0.23299335812721769</v>
      </c>
      <c r="E7" s="26">
        <f>(Qualitativa!B7+Qualitativa!C7+Qualitativa!D7+Qualitativa!E7+Qualitativa!F7)/5</f>
        <v>3</v>
      </c>
      <c r="F7" s="40">
        <f t="shared" si="1"/>
        <v>0.6</v>
      </c>
      <c r="G7" s="26">
        <f t="shared" si="2"/>
        <v>45.814634696996968</v>
      </c>
      <c r="H7" s="39" cm="1">
        <f t="array" ref="H7">IF($B7=TRUE,1+SUMPRODUCT(($B$3:$B$35=TRUE)*($G$3:$G$35&gt;$G7)),"Indeferido")</f>
        <v>21</v>
      </c>
    </row>
    <row r="8" spans="1:8" ht="20" customHeight="1" x14ac:dyDescent="0.15">
      <c r="A8" s="8" t="s">
        <v>33</v>
      </c>
      <c r="B8" s="24" t="b">
        <v>1</v>
      </c>
      <c r="C8" s="26">
        <f>0.25*Quantitativa!D8+0.15*Quantitativa!E8+0.1*Quantitativa!F8+0.25*Quantitativa!G8+0.25*Quantitativa!H8</f>
        <v>1418.9649999999999</v>
      </c>
      <c r="D8" s="40">
        <f t="shared" si="0"/>
        <v>0.34633293569556611</v>
      </c>
      <c r="E8" s="26">
        <f>(Qualitativa!B8+Qualitativa!C8+Qualitativa!D8+Qualitativa!E8+Qualitativa!F8)/5</f>
        <v>3</v>
      </c>
      <c r="F8" s="40">
        <f t="shared" si="1"/>
        <v>0.6</v>
      </c>
      <c r="G8" s="26">
        <f t="shared" si="2"/>
        <v>52.048311463256134</v>
      </c>
      <c r="H8" s="39" cm="1">
        <f t="array" ref="H8">IF($B8=TRUE,1+SUMPRODUCT(($B$3:$B$35=TRUE)*($G$3:$G$35&gt;$G8)),"Indeferido")</f>
        <v>12</v>
      </c>
    </row>
    <row r="9" spans="1:8" ht="20" customHeight="1" x14ac:dyDescent="0.15">
      <c r="A9" s="8" t="s">
        <v>34</v>
      </c>
      <c r="B9" s="24" t="b">
        <v>1</v>
      </c>
      <c r="C9" s="26">
        <f>0.25*Quantitativa!D9+0.15*Quantitativa!E9+0.1*Quantitativa!F9+0.25*Quantitativa!G9+0.25*Quantitativa!H9</f>
        <v>1650.65</v>
      </c>
      <c r="D9" s="40">
        <f t="shared" si="0"/>
        <v>0.40288129749915347</v>
      </c>
      <c r="E9" s="26">
        <f>(Qualitativa!B9+Qualitativa!C9+Qualitativa!D9+Qualitativa!E9+Qualitativa!F9)/5</f>
        <v>3</v>
      </c>
      <c r="F9" s="40">
        <f t="shared" si="1"/>
        <v>0.6</v>
      </c>
      <c r="G9" s="26">
        <f t="shared" si="2"/>
        <v>55.15847136245344</v>
      </c>
      <c r="H9" s="39" cm="1">
        <f t="array" ref="H9">IF($B9=TRUE,1+SUMPRODUCT(($B$3:$B$35=TRUE)*($G$3:$G$35&gt;$G9)),"Indeferido")</f>
        <v>10</v>
      </c>
    </row>
    <row r="10" spans="1:8" ht="20" customHeight="1" x14ac:dyDescent="0.15">
      <c r="A10" s="8" t="s">
        <v>35</v>
      </c>
      <c r="B10" s="24" t="b">
        <v>0</v>
      </c>
      <c r="C10" s="26">
        <f>0.25*Quantitativa!D10+0.15*Quantitativa!E10+0.1*Quantitativa!F10+0.25*Quantitativa!G10+0.25*Quantitativa!H10</f>
        <v>1626.6</v>
      </c>
      <c r="D10" s="40">
        <f t="shared" si="0"/>
        <v>0.39701130979439792</v>
      </c>
      <c r="E10" s="26">
        <f>(Qualitativa!B10+Qualitativa!C10+Qualitativa!D10+Qualitativa!E10+Qualitativa!F10)/5</f>
        <v>3</v>
      </c>
      <c r="F10" s="40">
        <f t="shared" si="1"/>
        <v>0.6</v>
      </c>
      <c r="G10" s="26">
        <f t="shared" si="2"/>
        <v>54.835622038691881</v>
      </c>
      <c r="H10" s="39" t="str" cm="1">
        <f t="array" ref="H10">IF($B10=TRUE,1+SUMPRODUCT(($B$3:$B$35=TRUE)*($G$3:$G$35&gt;$G10)),"Indeferido")</f>
        <v>Indeferido</v>
      </c>
    </row>
    <row r="11" spans="1:8" ht="20" customHeight="1" x14ac:dyDescent="0.15">
      <c r="A11" s="8" t="s">
        <v>36</v>
      </c>
      <c r="B11" s="24" t="b">
        <v>1</v>
      </c>
      <c r="C11" s="26">
        <f>0.25*Quantitativa!D11+0.15*Quantitativa!E11+0.1*Quantitativa!F11+0.25*Quantitativa!G11+0.25*Quantitativa!H11</f>
        <v>1745.2025000000001</v>
      </c>
      <c r="D11" s="40">
        <f t="shared" si="0"/>
        <v>0.4259591358548247</v>
      </c>
      <c r="E11" s="26">
        <f>(Qualitativa!B11+Qualitativa!C11+Qualitativa!D11+Qualitativa!E11+Qualitativa!F11)/5</f>
        <v>3</v>
      </c>
      <c r="F11" s="40">
        <f t="shared" si="1"/>
        <v>0.6</v>
      </c>
      <c r="G11" s="26">
        <f t="shared" si="2"/>
        <v>56.427752472015349</v>
      </c>
      <c r="H11" s="39" cm="1">
        <f t="array" ref="H11">IF($B11=TRUE,1+SUMPRODUCT(($B$3:$B$35=TRUE)*($G$3:$G$35&gt;$G11)),"Indeferido")</f>
        <v>9</v>
      </c>
    </row>
    <row r="12" spans="1:8" ht="20" customHeight="1" x14ac:dyDescent="0.15">
      <c r="A12" s="8" t="s">
        <v>37</v>
      </c>
      <c r="B12" s="24" t="b">
        <v>1</v>
      </c>
      <c r="C12" s="26">
        <f>0.25*Quantitativa!D12+0.15*Quantitativa!E12+0.1*Quantitativa!F12+0.25*Quantitativa!G12+0.25*Quantitativa!H12</f>
        <v>1137.8125</v>
      </c>
      <c r="D12" s="40">
        <f t="shared" si="0"/>
        <v>0.27771082683231185</v>
      </c>
      <c r="E12" s="26">
        <f>(Qualitativa!B12+Qualitativa!C12+Qualitativa!D12+Qualitativa!E12+Qualitativa!F12)/5</f>
        <v>3</v>
      </c>
      <c r="F12" s="40">
        <f t="shared" si="1"/>
        <v>0.6</v>
      </c>
      <c r="G12" s="26">
        <f t="shared" si="2"/>
        <v>48.274095475777152</v>
      </c>
      <c r="H12" s="39" cm="1">
        <f t="array" ref="H12">IF($B12=TRUE,1+SUMPRODUCT(($B$3:$B$35=TRUE)*($G$3:$G$35&gt;$G12)),"Indeferido")</f>
        <v>16</v>
      </c>
    </row>
    <row r="13" spans="1:8" ht="20" customHeight="1" x14ac:dyDescent="0.15">
      <c r="A13" s="8" t="s">
        <v>38</v>
      </c>
      <c r="B13" s="24" t="b">
        <v>1</v>
      </c>
      <c r="C13" s="26">
        <f>0.25*Quantitativa!D13+0.15*Quantitativa!E13+0.1*Quantitativa!F13+0.25*Quantitativa!G13+0.25*Quantitativa!H13</f>
        <v>30.96</v>
      </c>
      <c r="D13" s="40">
        <f t="shared" si="0"/>
        <v>7.5565413446665201E-3</v>
      </c>
      <c r="E13" s="26">
        <f>(Qualitativa!B13+Qualitativa!C13+Qualitativa!D13+Qualitativa!E13+Qualitativa!F13)/5</f>
        <v>3</v>
      </c>
      <c r="F13" s="40">
        <f t="shared" si="1"/>
        <v>0.6</v>
      </c>
      <c r="G13" s="26">
        <f t="shared" si="2"/>
        <v>33.41560977395666</v>
      </c>
      <c r="H13" s="39" cm="1">
        <f t="array" ref="H13">IF($B13=TRUE,1+SUMPRODUCT(($B$3:$B$35=TRUE)*($G$3:$G$35&gt;$G13)),"Indeferido")</f>
        <v>29</v>
      </c>
    </row>
    <row r="14" spans="1:8" ht="20" customHeight="1" x14ac:dyDescent="0.15">
      <c r="A14" s="8" t="s">
        <v>39</v>
      </c>
      <c r="B14" s="24" t="b">
        <v>1</v>
      </c>
      <c r="C14" s="26">
        <f>0.25*Quantitativa!D14+0.15*Quantitativa!E14+0.1*Quantitativa!F14+0.25*Quantitativa!G14+0.25*Quantitativa!H14</f>
        <v>1123.7275</v>
      </c>
      <c r="D14" s="40">
        <f t="shared" si="0"/>
        <v>0.27427303985428764</v>
      </c>
      <c r="E14" s="26">
        <f>(Qualitativa!B14+Qualitativa!C14+Qualitativa!D14+Qualitativa!E14+Qualitativa!F14)/5</f>
        <v>3</v>
      </c>
      <c r="F14" s="40">
        <f t="shared" si="1"/>
        <v>0.6</v>
      </c>
      <c r="G14" s="26">
        <f t="shared" si="2"/>
        <v>48.08501719198582</v>
      </c>
      <c r="H14" s="39" cm="1">
        <f t="array" ref="H14">IF($B14=TRUE,1+SUMPRODUCT(($B$3:$B$35=TRUE)*($G$3:$G$35&gt;$G14)),"Indeferido")</f>
        <v>18</v>
      </c>
    </row>
    <row r="15" spans="1:8" ht="20" customHeight="1" x14ac:dyDescent="0.15">
      <c r="A15" s="8" t="s">
        <v>40</v>
      </c>
      <c r="B15" s="24" t="b">
        <v>1</v>
      </c>
      <c r="C15" s="26">
        <f>0.25*Quantitativa!D15+0.15*Quantitativa!E15+0.1*Quantitativa!F15+0.25*Quantitativa!G15+0.25*Quantitativa!H15</f>
        <v>1124.5650000000001</v>
      </c>
      <c r="D15" s="40">
        <f t="shared" si="0"/>
        <v>0.27447745210803959</v>
      </c>
      <c r="E15" s="26">
        <f>(Qualitativa!B15+Qualitativa!C15+Qualitativa!D15+Qualitativa!E15+Qualitativa!F15)/5</f>
        <v>3</v>
      </c>
      <c r="F15" s="40">
        <f t="shared" si="1"/>
        <v>0.6</v>
      </c>
      <c r="G15" s="26">
        <f t="shared" si="2"/>
        <v>48.09625986594218</v>
      </c>
      <c r="H15" s="39" cm="1">
        <f t="array" ref="H15">IF($B15=TRUE,1+SUMPRODUCT(($B$3:$B$35=TRUE)*($G$3:$G$35&gt;$G15)),"Indeferido")</f>
        <v>17</v>
      </c>
    </row>
    <row r="16" spans="1:8" ht="20" customHeight="1" x14ac:dyDescent="0.15">
      <c r="A16" s="8" t="s">
        <v>41</v>
      </c>
      <c r="B16" s="24" t="b">
        <v>0</v>
      </c>
      <c r="C16" s="26">
        <f>0.25*Quantitativa!D16+0.15*Quantitativa!E16+0.1*Quantitativa!F16+0.25*Quantitativa!G16+0.25*Quantitativa!H16</f>
        <v>75.135499999999993</v>
      </c>
      <c r="D16" s="40">
        <f t="shared" si="0"/>
        <v>1.8338647034954497E-2</v>
      </c>
      <c r="E16" s="26">
        <f>(Qualitativa!B16+Qualitativa!C16+Qualitativa!D16+Qualitativa!E16+Qualitativa!F16)/5</f>
        <v>3</v>
      </c>
      <c r="F16" s="40">
        <f t="shared" si="1"/>
        <v>0.6</v>
      </c>
      <c r="G16" s="26">
        <f t="shared" si="2"/>
        <v>34.008625586922491</v>
      </c>
      <c r="H16" s="39" t="str" cm="1">
        <f t="array" ref="H16">IF($B16=TRUE,1+SUMPRODUCT(($B$3:$B$35=TRUE)*($G$3:$G$35&gt;$G16)),"Indeferido")</f>
        <v>Indeferido</v>
      </c>
    </row>
    <row r="17" spans="1:8" ht="20" customHeight="1" x14ac:dyDescent="0.15">
      <c r="A17" s="8" t="s">
        <v>42</v>
      </c>
      <c r="B17" s="24" t="b">
        <v>1</v>
      </c>
      <c r="C17" s="26">
        <f>0.25*Quantitativa!D17+0.15*Quantitativa!E17+0.1*Quantitativa!F17+0.25*Quantitativa!G17+0.25*Quantitativa!H17</f>
        <v>86.20067499999999</v>
      </c>
      <c r="D17" s="40">
        <f t="shared" si="0"/>
        <v>2.1039372240815941E-2</v>
      </c>
      <c r="E17" s="26">
        <f>(Qualitativa!B17+Qualitativa!C17+Qualitativa!D17+Qualitativa!E17+Qualitativa!F17)/5</f>
        <v>3</v>
      </c>
      <c r="F17" s="40">
        <f t="shared" si="1"/>
        <v>0.6</v>
      </c>
      <c r="G17" s="26">
        <f t="shared" si="2"/>
        <v>34.157165473244881</v>
      </c>
      <c r="H17" s="39" cm="1">
        <f t="array" ref="H17">IF($B17=TRUE,1+SUMPRODUCT(($B$3:$B$35=TRUE)*($G$3:$G$35&gt;$G17)),"Indeferido")</f>
        <v>27</v>
      </c>
    </row>
    <row r="18" spans="1:8" ht="20" customHeight="1" x14ac:dyDescent="0.15">
      <c r="A18" s="8" t="s">
        <v>43</v>
      </c>
      <c r="B18" s="24" t="b">
        <v>1</v>
      </c>
      <c r="C18" s="26">
        <f>0.25*Quantitativa!D18+0.15*Quantitativa!E18+0.1*Quantitativa!F18+0.25*Quantitativa!G18+0.25*Quantitativa!H18</f>
        <v>83.605000000000004</v>
      </c>
      <c r="D18" s="40">
        <f t="shared" si="0"/>
        <v>2.0405834596926499E-2</v>
      </c>
      <c r="E18" s="26">
        <f>(Qualitativa!B18+Qualitativa!C18+Qualitativa!D18+Qualitativa!E18+Qualitativa!F18)/5</f>
        <v>3</v>
      </c>
      <c r="F18" s="40">
        <f t="shared" si="1"/>
        <v>0.6</v>
      </c>
      <c r="G18" s="26">
        <f t="shared" si="2"/>
        <v>34.122320902830957</v>
      </c>
      <c r="H18" s="39" cm="1">
        <f t="array" ref="H18">IF($B18=TRUE,1+SUMPRODUCT(($B$3:$B$35=TRUE)*($G$3:$G$35&gt;$G18)),"Indeferido")</f>
        <v>28</v>
      </c>
    </row>
    <row r="19" spans="1:8" ht="20" customHeight="1" x14ac:dyDescent="0.15">
      <c r="A19" s="8" t="s">
        <v>44</v>
      </c>
      <c r="B19" s="24" t="b">
        <v>1</v>
      </c>
      <c r="C19" s="26">
        <f>0.25*Quantitativa!D19+0.15*Quantitativa!E19+0.1*Quantitativa!F19+0.25*Quantitativa!G19+0.25*Quantitativa!H19</f>
        <v>1815.9</v>
      </c>
      <c r="D19" s="40">
        <f t="shared" si="0"/>
        <v>0.44321458100064387</v>
      </c>
      <c r="E19" s="26">
        <f>(Qualitativa!B19+Qualitativa!C19+Qualitativa!D19+Qualitativa!E19+Qualitativa!F19)/5</f>
        <v>3</v>
      </c>
      <c r="F19" s="40">
        <f t="shared" si="1"/>
        <v>0.6</v>
      </c>
      <c r="G19" s="26">
        <f t="shared" si="2"/>
        <v>57.376801955035418</v>
      </c>
      <c r="H19" s="39" cm="1">
        <f t="array" ref="H19">IF($B19=TRUE,1+SUMPRODUCT(($B$3:$B$35=TRUE)*($G$3:$G$35&gt;$G19)),"Indeferido")</f>
        <v>8</v>
      </c>
    </row>
    <row r="20" spans="1:8" ht="20" customHeight="1" x14ac:dyDescent="0.15">
      <c r="A20" s="8" t="s">
        <v>45</v>
      </c>
      <c r="B20" s="24" t="b">
        <v>1</v>
      </c>
      <c r="C20" s="26">
        <f>0.25*Quantitativa!D20+0.15*Quantitativa!E20+0.1*Quantitativa!F20+0.25*Quantitativa!G20+0.25*Quantitativa!H20</f>
        <v>755.22500000000002</v>
      </c>
      <c r="D20" s="40">
        <f t="shared" si="0"/>
        <v>0.18433103801762832</v>
      </c>
      <c r="E20" s="26">
        <f>(Qualitativa!B20+Qualitativa!C20+Qualitativa!D20+Qualitativa!E20+Qualitativa!F20)/5</f>
        <v>3</v>
      </c>
      <c r="F20" s="40">
        <f t="shared" si="1"/>
        <v>0.6</v>
      </c>
      <c r="G20" s="26">
        <f t="shared" si="2"/>
        <v>43.138207090969551</v>
      </c>
      <c r="H20" s="39" cm="1">
        <f t="array" ref="H20">IF($B20=TRUE,1+SUMPRODUCT(($B$3:$B$35=TRUE)*($G$3:$G$35&gt;$G20)),"Indeferido")</f>
        <v>23</v>
      </c>
    </row>
    <row r="21" spans="1:8" ht="20" customHeight="1" x14ac:dyDescent="0.15">
      <c r="A21" s="8" t="s">
        <v>46</v>
      </c>
      <c r="B21" s="24" t="b">
        <v>1</v>
      </c>
      <c r="C21" s="26">
        <f>0.25*Quantitativa!D21+0.15*Quantitativa!E21+0.1*Quantitativa!F21+0.25*Quantitativa!G21+0.25*Quantitativa!H21</f>
        <v>1866.3</v>
      </c>
      <c r="D21" s="40">
        <f t="shared" si="0"/>
        <v>0.45551592737568236</v>
      </c>
      <c r="E21" s="26">
        <f>(Qualitativa!B21+Qualitativa!C21+Qualitativa!D21+Qualitativa!E21+Qualitativa!F21)/5</f>
        <v>3</v>
      </c>
      <c r="F21" s="40">
        <f t="shared" si="1"/>
        <v>0.6</v>
      </c>
      <c r="G21" s="26">
        <f t="shared" si="2"/>
        <v>58.053376005662521</v>
      </c>
      <c r="H21" s="39" cm="1">
        <f t="array" ref="H21">IF($B21=TRUE,1+SUMPRODUCT(($B$3:$B$35=TRUE)*($G$3:$G$35&gt;$G21)),"Indeferido")</f>
        <v>7</v>
      </c>
    </row>
    <row r="22" spans="1:8" ht="20" customHeight="1" x14ac:dyDescent="0.15">
      <c r="A22" s="8" t="s">
        <v>47</v>
      </c>
      <c r="B22" s="24" t="b">
        <v>1</v>
      </c>
      <c r="C22" s="26">
        <f>0.25*Quantitativa!D22+0.15*Quantitativa!E22+0.1*Quantitativa!F22+0.25*Quantitativa!G22+0.25*Quantitativa!H22</f>
        <v>1455.4</v>
      </c>
      <c r="D22" s="40">
        <f t="shared" si="0"/>
        <v>0.35522578401252108</v>
      </c>
      <c r="E22" s="26">
        <f>(Qualitativa!B22+Qualitativa!C22+Qualitativa!D22+Qualitativa!E22+Qualitativa!F22)/5</f>
        <v>3</v>
      </c>
      <c r="F22" s="40">
        <f t="shared" si="1"/>
        <v>0.6</v>
      </c>
      <c r="G22" s="26">
        <f t="shared" si="2"/>
        <v>52.537418120688663</v>
      </c>
      <c r="H22" s="39" cm="1">
        <f t="array" ref="H22">IF($B22=TRUE,1+SUMPRODUCT(($B$3:$B$35=TRUE)*($G$3:$G$35&gt;$G22)),"Indeferido")</f>
        <v>11</v>
      </c>
    </row>
    <row r="23" spans="1:8" ht="20" customHeight="1" x14ac:dyDescent="0.15">
      <c r="A23" s="8" t="s">
        <v>48</v>
      </c>
      <c r="B23" s="24" t="b">
        <v>1</v>
      </c>
      <c r="C23" s="26">
        <f>0.25*Quantitativa!D23+0.15*Quantitativa!E23+0.1*Quantitativa!F23+0.25*Quantitativa!G23+0.25*Quantitativa!H23</f>
        <v>1941.6</v>
      </c>
      <c r="D23" s="40">
        <f t="shared" si="0"/>
        <v>0.47389472463838866</v>
      </c>
      <c r="E23" s="26">
        <f>(Qualitativa!B23+Qualitativa!C23+Qualitativa!D23+Qualitativa!E23+Qualitativa!F23)/5</f>
        <v>3</v>
      </c>
      <c r="F23" s="40">
        <f t="shared" si="1"/>
        <v>0.6</v>
      </c>
      <c r="G23" s="26">
        <f t="shared" si="2"/>
        <v>59.064209855111372</v>
      </c>
      <c r="H23" s="39" cm="1">
        <f t="array" ref="H23">IF($B23=TRUE,1+SUMPRODUCT(($B$3:$B$35=TRUE)*($G$3:$G$35&gt;$G23)),"Indeferido")</f>
        <v>5</v>
      </c>
    </row>
    <row r="24" spans="1:8" ht="20" customHeight="1" x14ac:dyDescent="0.15">
      <c r="A24" s="8" t="s">
        <v>49</v>
      </c>
      <c r="B24" s="24" t="b">
        <v>1</v>
      </c>
      <c r="C24" s="26">
        <f>0.25*Quantitativa!D24+0.15*Quantitativa!E24+0.1*Quantitativa!F24+0.25*Quantitativa!G24+0.25*Quantitativa!H24</f>
        <v>395.05650000000003</v>
      </c>
      <c r="D24" s="40">
        <f t="shared" si="0"/>
        <v>9.6423151670841381E-2</v>
      </c>
      <c r="E24" s="26">
        <f>(Qualitativa!B24+Qualitativa!C24+Qualitativa!D24+Qualitativa!E24+Qualitativa!F24)/5</f>
        <v>3</v>
      </c>
      <c r="F24" s="40">
        <f t="shared" si="1"/>
        <v>0.6</v>
      </c>
      <c r="G24" s="26">
        <f t="shared" si="2"/>
        <v>38.303273341896272</v>
      </c>
      <c r="H24" s="39" cm="1">
        <f t="array" ref="H24">IF($B24=TRUE,1+SUMPRODUCT(($B$3:$B$35=TRUE)*($G$3:$G$35&gt;$G24)),"Indeferido")</f>
        <v>26</v>
      </c>
    </row>
    <row r="25" spans="1:8" ht="20" customHeight="1" x14ac:dyDescent="0.15">
      <c r="A25" s="8" t="s">
        <v>50</v>
      </c>
      <c r="B25" s="24" t="b">
        <v>1</v>
      </c>
      <c r="C25" s="26">
        <f>0.25*Quantitativa!D25+0.15*Quantitativa!E25+0.1*Quantitativa!F25+0.25*Quantitativa!G25+0.25*Quantitativa!H25</f>
        <v>3476.15</v>
      </c>
      <c r="D25" s="40">
        <f t="shared" si="0"/>
        <v>0.8484389920950427</v>
      </c>
      <c r="E25" s="26">
        <f>(Qualitativa!B25+Qualitativa!C25+Qualitativa!D25+Qualitativa!E25+Qualitativa!F25)/5</f>
        <v>3</v>
      </c>
      <c r="F25" s="40">
        <f t="shared" si="1"/>
        <v>0.6</v>
      </c>
      <c r="G25" s="26">
        <f t="shared" si="2"/>
        <v>79.664144565227346</v>
      </c>
      <c r="H25" s="39" cm="1">
        <f t="array" ref="H25">IF($B25=TRUE,1+SUMPRODUCT(($B$3:$B$35=TRUE)*($G$3:$G$35&gt;$G25)),"Indeferido")</f>
        <v>1</v>
      </c>
    </row>
    <row r="26" spans="1:8" ht="20" customHeight="1" x14ac:dyDescent="0.15">
      <c r="A26" s="8" t="s">
        <v>51</v>
      </c>
      <c r="B26" s="24" t="b">
        <v>1</v>
      </c>
      <c r="C26" s="26">
        <f>0.25*Quantitativa!D26+0.15*Quantitativa!E26+0.1*Quantitativa!F26+0.25*Quantitativa!G26+0.25*Quantitativa!H26</f>
        <v>2362.3275000000003</v>
      </c>
      <c r="D26" s="40">
        <f t="shared" si="0"/>
        <v>0.57658350850751616</v>
      </c>
      <c r="E26" s="26">
        <f>(Qualitativa!B26+Qualitativa!C26+Qualitativa!D26+Qualitativa!E26+Qualitativa!F26)/5</f>
        <v>3</v>
      </c>
      <c r="F26" s="40">
        <f t="shared" si="1"/>
        <v>0.6</v>
      </c>
      <c r="G26" s="26">
        <f t="shared" si="2"/>
        <v>64.712092967913378</v>
      </c>
      <c r="H26" s="39" cm="1">
        <f t="array" ref="H26">IF($B26=TRUE,1+SUMPRODUCT(($B$3:$B$35=TRUE)*($G$3:$G$35&gt;$G26)),"Indeferido")</f>
        <v>2</v>
      </c>
    </row>
    <row r="27" spans="1:8" ht="20" customHeight="1" x14ac:dyDescent="0.15">
      <c r="A27" s="8" t="s">
        <v>52</v>
      </c>
      <c r="B27" s="24" t="b">
        <v>0</v>
      </c>
      <c r="C27" s="26">
        <f>0.25*Quantitativa!D27+0.15*Quantitativa!E27+0.1*Quantitativa!F27+0.25*Quantitativa!G27+0.25*Quantitativa!H27</f>
        <v>150.32999999999998</v>
      </c>
      <c r="D27" s="40">
        <f t="shared" si="0"/>
        <v>3.6691694455546438E-2</v>
      </c>
      <c r="E27" s="26">
        <f>(Qualitativa!B27+Qualitativa!C27+Qualitativa!D27+Qualitativa!E27+Qualitativa!F27)/5</f>
        <v>3</v>
      </c>
      <c r="F27" s="40">
        <f t="shared" si="1"/>
        <v>0.6</v>
      </c>
      <c r="G27" s="26">
        <f t="shared" si="2"/>
        <v>35.01804319505505</v>
      </c>
      <c r="H27" s="39" t="str" cm="1">
        <f t="array" ref="H27">IF($B27=TRUE,1+SUMPRODUCT(($B$3:$B$35=TRUE)*($G$3:$G$35&gt;$G27)),"Indeferido")</f>
        <v>Indeferido</v>
      </c>
    </row>
    <row r="28" spans="1:8" ht="20" customHeight="1" x14ac:dyDescent="0.15">
      <c r="A28" s="8" t="s">
        <v>53</v>
      </c>
      <c r="B28" s="24" t="b">
        <v>1</v>
      </c>
      <c r="C28" s="26">
        <f>0.25*Quantitativa!D28+0.15*Quantitativa!E28+0.1*Quantitativa!F28+0.25*Quantitativa!G28+0.25*Quantitativa!H28</f>
        <v>733.75</v>
      </c>
      <c r="D28" s="40">
        <f t="shared" si="0"/>
        <v>0.17908954171993083</v>
      </c>
      <c r="E28" s="26">
        <f>(Qualitativa!B28+Qualitativa!C28+Qualitativa!D28+Qualitativa!E28+Qualitativa!F28)/5</f>
        <v>3</v>
      </c>
      <c r="F28" s="40">
        <f t="shared" si="1"/>
        <v>0.6</v>
      </c>
      <c r="G28" s="26">
        <f t="shared" si="2"/>
        <v>42.849924794596198</v>
      </c>
      <c r="H28" s="39" cm="1">
        <f t="array" ref="H28">IF($B28=TRUE,1+SUMPRODUCT(($B$3:$B$35=TRUE)*($G$3:$G$35&gt;$G28)),"Indeferido")</f>
        <v>24</v>
      </c>
    </row>
    <row r="29" spans="1:8" ht="20" customHeight="1" x14ac:dyDescent="0.15">
      <c r="A29" s="8" t="s">
        <v>54</v>
      </c>
      <c r="B29" s="24" t="b">
        <v>1</v>
      </c>
      <c r="C29" s="26">
        <f>0.25*Quantitativa!D29+0.15*Quantitativa!E29+0.1*Quantitativa!F29+0.25*Quantitativa!G29+0.25*Quantitativa!H29</f>
        <v>2340.375</v>
      </c>
      <c r="D29" s="40">
        <f t="shared" si="0"/>
        <v>0.57122546671588847</v>
      </c>
      <c r="E29" s="26">
        <f>(Qualitativa!B29+Qualitativa!C29+Qualitativa!D29+Qualitativa!E29+Qualitativa!F29)/5</f>
        <v>3</v>
      </c>
      <c r="F29" s="40">
        <f t="shared" si="1"/>
        <v>0.6</v>
      </c>
      <c r="G29" s="26">
        <f t="shared" si="2"/>
        <v>64.417400669373862</v>
      </c>
      <c r="H29" s="39" cm="1">
        <f t="array" ref="H29">IF($B29=TRUE,1+SUMPRODUCT(($B$3:$B$35=TRUE)*($G$3:$G$35&gt;$G29)),"Indeferido")</f>
        <v>3</v>
      </c>
    </row>
    <row r="30" spans="1:8" ht="20" customHeight="1" x14ac:dyDescent="0.15">
      <c r="A30" s="8" t="s">
        <v>55</v>
      </c>
      <c r="B30" s="24" t="b">
        <v>1</v>
      </c>
      <c r="C30" s="26">
        <f>0.25*Quantitativa!D30+0.15*Quantitativa!E30+0.1*Quantitativa!F30+0.25*Quantitativa!G30+0.25*Quantitativa!H30</f>
        <v>1059.2</v>
      </c>
      <c r="D30" s="40">
        <f t="shared" si="0"/>
        <v>0.25852353334207939</v>
      </c>
      <c r="E30" s="26">
        <f>(Qualitativa!B30+Qualitativa!C30+Qualitativa!D30+Qualitativa!E30+Qualitativa!F30)/5</f>
        <v>3</v>
      </c>
      <c r="F30" s="40">
        <f t="shared" si="1"/>
        <v>0.6</v>
      </c>
      <c r="G30" s="26">
        <f t="shared" si="2"/>
        <v>47.218794333814365</v>
      </c>
      <c r="H30" s="39" cm="1">
        <f t="array" ref="H30">IF($B30=TRUE,1+SUMPRODUCT(($B$3:$B$35=TRUE)*($G$3:$G$35&gt;$G30)),"Indeferido")</f>
        <v>19</v>
      </c>
    </row>
    <row r="31" spans="1:8" ht="20" customHeight="1" x14ac:dyDescent="0.15">
      <c r="A31" s="8" t="s">
        <v>56</v>
      </c>
      <c r="B31" s="24" t="b">
        <v>1</v>
      </c>
      <c r="C31" s="26">
        <f>0.25*Quantitativa!D31+0.15*Quantitativa!E31+0.1*Quantitativa!F31+0.25*Quantitativa!G31+0.25*Quantitativa!H31</f>
        <v>1943.4475</v>
      </c>
      <c r="D31" s="40">
        <f t="shared" si="0"/>
        <v>0.47434565196830702</v>
      </c>
      <c r="E31" s="26">
        <f>(Qualitativa!B31+Qualitativa!C31+Qualitativa!D31+Qualitativa!E31+Qualitativa!F31)/5</f>
        <v>3</v>
      </c>
      <c r="F31" s="40">
        <f t="shared" si="1"/>
        <v>0.6</v>
      </c>
      <c r="G31" s="26">
        <f t="shared" si="2"/>
        <v>59.089010858256884</v>
      </c>
      <c r="H31" s="39" cm="1">
        <f t="array" ref="H31">IF($B31=TRUE,1+SUMPRODUCT(($B$3:$B$35=TRUE)*($G$3:$G$35&gt;$G31)),"Indeferido")</f>
        <v>4</v>
      </c>
    </row>
    <row r="32" spans="1:8" ht="20" customHeight="1" x14ac:dyDescent="0.15">
      <c r="A32" s="8" t="s">
        <v>57</v>
      </c>
      <c r="B32" s="24" t="b">
        <v>1</v>
      </c>
      <c r="C32" s="26">
        <f>0.25*Quantitativa!D32+0.15*Quantitativa!E32+0.1*Quantitativa!F32+0.25*Quantitativa!G32+0.25*Quantitativa!H32</f>
        <v>821.78749999999991</v>
      </c>
      <c r="D32" s="40">
        <f t="shared" si="0"/>
        <v>0.20057723579716205</v>
      </c>
      <c r="E32" s="26">
        <f>(Qualitativa!B32+Qualitativa!C32+Qualitativa!D32+Qualitativa!E32+Qualitativa!F32)/5</f>
        <v>3</v>
      </c>
      <c r="F32" s="40">
        <f t="shared" si="1"/>
        <v>0.6</v>
      </c>
      <c r="G32" s="26">
        <f t="shared" si="2"/>
        <v>44.031747968843909</v>
      </c>
      <c r="H32" s="39" cm="1">
        <f t="array" ref="H32">IF($B32=TRUE,1+SUMPRODUCT(($B$3:$B$35=TRUE)*($G$3:$G$35&gt;$G32)),"Indeferido")</f>
        <v>22</v>
      </c>
    </row>
    <row r="33" spans="1:8" ht="20" customHeight="1" x14ac:dyDescent="0.15">
      <c r="A33" s="8" t="s">
        <v>58</v>
      </c>
      <c r="B33" s="24" t="b">
        <v>1</v>
      </c>
      <c r="C33" s="26">
        <f>0.25*Quantitativa!D33+0.15*Quantitativa!E33+0.1*Quantitativa!F33+0.25*Quantitativa!G33+0.25*Quantitativa!H33</f>
        <v>1878.74</v>
      </c>
      <c r="D33" s="40">
        <f t="shared" si="0"/>
        <v>0.4585522120761879</v>
      </c>
      <c r="E33" s="26">
        <f>(Qualitativa!B33+Qualitativa!C33+Qualitativa!D33+Qualitativa!E33+Qualitativa!F33)/5</f>
        <v>3</v>
      </c>
      <c r="F33" s="40">
        <f t="shared" si="1"/>
        <v>0.6</v>
      </c>
      <c r="G33" s="26">
        <f t="shared" si="2"/>
        <v>58.220371664190331</v>
      </c>
      <c r="H33" s="39" cm="1">
        <f t="array" ref="H33">IF($B33=TRUE,1+SUMPRODUCT(($B$3:$B$35=TRUE)*($G$3:$G$35&gt;$G33)),"Indeferido")</f>
        <v>6</v>
      </c>
    </row>
    <row r="34" spans="1:8" ht="20" customHeight="1" x14ac:dyDescent="0.15">
      <c r="A34" s="8" t="s">
        <v>59</v>
      </c>
      <c r="B34" s="24" t="b">
        <v>0</v>
      </c>
      <c r="C34" s="26">
        <f>0.25*Quantitativa!D34+0.15*Quantitativa!E34+0.1*Quantitativa!F34+0.25*Quantitativa!G34+0.25*Quantitativa!H34</f>
        <v>4097.1124999999993</v>
      </c>
      <c r="D34" s="40">
        <f t="shared" si="0"/>
        <v>1</v>
      </c>
      <c r="E34" s="26">
        <f>(Qualitativa!B34+Qualitativa!C34+Qualitativa!D34+Qualitativa!E34+Qualitativa!F34)/5</f>
        <v>3</v>
      </c>
      <c r="F34" s="40">
        <f t="shared" si="1"/>
        <v>0.6</v>
      </c>
      <c r="G34" s="26">
        <f t="shared" si="2"/>
        <v>88</v>
      </c>
      <c r="H34" s="39" t="str" cm="1">
        <f t="array" ref="H34">IF($B34=TRUE,1+SUMPRODUCT(($B$3:$B$35=TRUE)*($G$3:$G$35&gt;$G34)),"Indeferido")</f>
        <v>Indeferido</v>
      </c>
    </row>
    <row r="35" spans="1:8" ht="20" customHeight="1" x14ac:dyDescent="0.15">
      <c r="A35" s="8" t="s">
        <v>60</v>
      </c>
      <c r="B35" s="24" t="b">
        <v>1</v>
      </c>
      <c r="C35" s="26">
        <f>0.25*Quantitativa!D35+0.15*Quantitativa!E35+0.1*Quantitativa!F35+0.25*Quantitativa!G35+0.25*Quantitativa!H35</f>
        <v>997.9</v>
      </c>
      <c r="D35" s="26">
        <f t="shared" si="0"/>
        <v>0.24356177673910592</v>
      </c>
      <c r="E35" s="26">
        <f>(Qualitativa!B35+Qualitativa!C35+Qualitativa!D35+Qualitativa!E35+Qualitativa!F35)/5</f>
        <v>3</v>
      </c>
      <c r="F35" s="40">
        <f t="shared" si="1"/>
        <v>0.6</v>
      </c>
      <c r="G35" s="26">
        <f t="shared" si="2"/>
        <v>46.395897720650829</v>
      </c>
      <c r="H35" s="39" cm="1">
        <f t="array" ref="H35">IF($B35=TRUE,1+SUMPRODUCT(($B$3:$B$35=TRUE)*($G$3:$G$35&gt;$G35)),"Indeferido")</f>
        <v>20</v>
      </c>
    </row>
  </sheetData>
  <mergeCells count="1">
    <mergeCell ref="A1:H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Quantitativa</vt:lpstr>
      <vt:lpstr>Qualitativa</vt:lpstr>
      <vt:lpstr>Avaliadores</vt:lpstr>
      <vt:lpstr>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Marlucio Barbosa</dc:creator>
  <cp:keywords/>
  <dc:description/>
  <cp:lastModifiedBy>  </cp:lastModifiedBy>
  <dcterms:created xsi:type="dcterms:W3CDTF">2025-12-16T06:57:00Z</dcterms:created>
  <dcterms:modified xsi:type="dcterms:W3CDTF">2025-12-18T16:15:08Z</dcterms:modified>
  <cp:category/>
</cp:coreProperties>
</file>